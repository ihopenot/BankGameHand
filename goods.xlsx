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BankGameHand\"/>
    </mc:Choice>
  </mc:AlternateContent>
  <xr:revisionPtr revIDLastSave="0" documentId="13_ncr:1_{953E4E7C-6AE9-4F23-8E53-20A0835C45A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商品类型" sheetId="1" r:id="rId1"/>
    <sheet name="配方" sheetId="2" r:id="rId2"/>
    <sheet name="工厂类型" sheetId="3" r:id="rId3"/>
    <sheet name="居民配置" sheetId="4" r:id="rId4"/>
    <sheet name="经济分析" sheetId="5" r:id="rId5"/>
    <sheet name="需求分析" sheetId="6" r:id="rId6"/>
    <sheet name="现金总量分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36" i="7"/>
  <c r="B35" i="7"/>
  <c r="B34" i="7"/>
  <c r="B33" i="7"/>
  <c r="B32" i="7"/>
  <c r="B31" i="7"/>
  <c r="B30" i="7"/>
  <c r="B29" i="7"/>
  <c r="B28" i="7"/>
  <c r="E16" i="7"/>
  <c r="B24" i="7" s="1"/>
  <c r="E15" i="7"/>
  <c r="E14" i="7"/>
  <c r="E13" i="7"/>
  <c r="E12" i="7"/>
  <c r="E11" i="7"/>
  <c r="E10" i="7"/>
  <c r="E9" i="7"/>
  <c r="E8" i="7"/>
  <c r="E7" i="7"/>
  <c r="E6" i="7"/>
  <c r="E5" i="7"/>
  <c r="E4" i="7"/>
  <c r="E3" i="7"/>
  <c r="F86" i="6"/>
  <c r="D86" i="6"/>
  <c r="F85" i="6"/>
  <c r="D85" i="6"/>
  <c r="D84" i="6"/>
  <c r="F83" i="6"/>
  <c r="D83" i="6"/>
  <c r="F82" i="6"/>
  <c r="D82" i="6"/>
  <c r="D81" i="6"/>
  <c r="F80" i="6"/>
  <c r="D80" i="6"/>
  <c r="F79" i="6"/>
  <c r="D79" i="6"/>
  <c r="D78" i="6"/>
  <c r="E73" i="6"/>
  <c r="D73" i="6"/>
  <c r="C73" i="6"/>
  <c r="E72" i="6"/>
  <c r="D72" i="6"/>
  <c r="C72" i="6"/>
  <c r="E71" i="6"/>
  <c r="D71" i="6"/>
  <c r="C71" i="6"/>
  <c r="F71" i="6" s="1"/>
  <c r="E69" i="6"/>
  <c r="D69" i="6"/>
  <c r="C69" i="6"/>
  <c r="E68" i="6"/>
  <c r="D68" i="6"/>
  <c r="F68" i="6" s="1"/>
  <c r="C68" i="6"/>
  <c r="E67" i="6"/>
  <c r="D67" i="6"/>
  <c r="F67" i="6" s="1"/>
  <c r="C67" i="6"/>
  <c r="E65" i="6"/>
  <c r="D65" i="6"/>
  <c r="C65" i="6"/>
  <c r="E64" i="6"/>
  <c r="D64" i="6"/>
  <c r="C64" i="6"/>
  <c r="F64" i="6" s="1"/>
  <c r="E63" i="6"/>
  <c r="D63" i="6"/>
  <c r="C63" i="6"/>
  <c r="F59" i="6"/>
  <c r="D59" i="6"/>
  <c r="F58" i="6"/>
  <c r="D58" i="6"/>
  <c r="D57" i="6"/>
  <c r="F56" i="6"/>
  <c r="D56" i="6"/>
  <c r="F55" i="6"/>
  <c r="D55" i="6"/>
  <c r="D54" i="6"/>
  <c r="F53" i="6"/>
  <c r="D53" i="6"/>
  <c r="F52" i="6"/>
  <c r="D52" i="6"/>
  <c r="D51" i="6"/>
  <c r="E46" i="6"/>
  <c r="D46" i="6"/>
  <c r="C46" i="6"/>
  <c r="F46" i="6" s="1"/>
  <c r="E45" i="6"/>
  <c r="D45" i="6"/>
  <c r="C45" i="6"/>
  <c r="E44" i="6"/>
  <c r="D44" i="6"/>
  <c r="F44" i="6" s="1"/>
  <c r="C44" i="6"/>
  <c r="E42" i="6"/>
  <c r="D42" i="6"/>
  <c r="C42" i="6"/>
  <c r="F42" i="6" s="1"/>
  <c r="E41" i="6"/>
  <c r="D41" i="6"/>
  <c r="C41" i="6"/>
  <c r="F41" i="6" s="1"/>
  <c r="E40" i="6"/>
  <c r="D40" i="6"/>
  <c r="C40" i="6"/>
  <c r="F40" i="6" s="1"/>
  <c r="E38" i="6"/>
  <c r="D38" i="6"/>
  <c r="C38" i="6"/>
  <c r="E37" i="6"/>
  <c r="D37" i="6"/>
  <c r="C37" i="6"/>
  <c r="E36" i="6"/>
  <c r="D36" i="6"/>
  <c r="F36" i="6" s="1"/>
  <c r="C36" i="6"/>
  <c r="F32" i="6"/>
  <c r="D32" i="6"/>
  <c r="F31" i="6"/>
  <c r="D31" i="6"/>
  <c r="D30" i="6"/>
  <c r="F29" i="6"/>
  <c r="D29" i="6"/>
  <c r="F28" i="6"/>
  <c r="D28" i="6"/>
  <c r="D27" i="6"/>
  <c r="F26" i="6"/>
  <c r="D26" i="6"/>
  <c r="F25" i="6"/>
  <c r="D25" i="6"/>
  <c r="D24" i="6"/>
  <c r="E19" i="6"/>
  <c r="D19" i="6"/>
  <c r="C19" i="6"/>
  <c r="E18" i="6"/>
  <c r="D18" i="6"/>
  <c r="C18" i="6"/>
  <c r="E17" i="6"/>
  <c r="D17" i="6"/>
  <c r="C17" i="6"/>
  <c r="E15" i="6"/>
  <c r="D15" i="6"/>
  <c r="C15" i="6"/>
  <c r="E14" i="6"/>
  <c r="D14" i="6"/>
  <c r="C14" i="6"/>
  <c r="F14" i="6" s="1"/>
  <c r="E13" i="6"/>
  <c r="D13" i="6"/>
  <c r="C13" i="6"/>
  <c r="E11" i="6"/>
  <c r="D11" i="6"/>
  <c r="C11" i="6"/>
  <c r="E10" i="6"/>
  <c r="D10" i="6"/>
  <c r="C10" i="6"/>
  <c r="E9" i="6"/>
  <c r="D9" i="6"/>
  <c r="C9" i="6"/>
  <c r="Q12" i="5"/>
  <c r="L12" i="5"/>
  <c r="K12" i="5"/>
  <c r="I12" i="5"/>
  <c r="G12" i="5"/>
  <c r="H12" i="5" s="1"/>
  <c r="E12" i="5"/>
  <c r="D12" i="5"/>
  <c r="Q11" i="5"/>
  <c r="L11" i="5"/>
  <c r="K11" i="5"/>
  <c r="I11" i="5"/>
  <c r="G11" i="5"/>
  <c r="H11" i="5" s="1"/>
  <c r="E11" i="5"/>
  <c r="D11" i="5"/>
  <c r="Q10" i="5"/>
  <c r="K10" i="5"/>
  <c r="M10" i="5" s="1"/>
  <c r="I10" i="5"/>
  <c r="G10" i="5"/>
  <c r="H10" i="5" s="1"/>
  <c r="E10" i="5"/>
  <c r="D10" i="5"/>
  <c r="Q9" i="5"/>
  <c r="L9" i="5"/>
  <c r="K9" i="5"/>
  <c r="I9" i="5"/>
  <c r="G9" i="5"/>
  <c r="H9" i="5" s="1"/>
  <c r="E9" i="5"/>
  <c r="D9" i="5"/>
  <c r="Q8" i="5"/>
  <c r="L8" i="5"/>
  <c r="K8" i="5"/>
  <c r="I8" i="5"/>
  <c r="G8" i="5"/>
  <c r="H8" i="5" s="1"/>
  <c r="E8" i="5"/>
  <c r="D8" i="5"/>
  <c r="Q7" i="5"/>
  <c r="K7" i="5"/>
  <c r="M7" i="5" s="1"/>
  <c r="I7" i="5"/>
  <c r="G7" i="5"/>
  <c r="H7" i="5" s="1"/>
  <c r="N7" i="5" s="1"/>
  <c r="E7" i="5"/>
  <c r="D7" i="5"/>
  <c r="Q6" i="5"/>
  <c r="L6" i="5"/>
  <c r="K6" i="5"/>
  <c r="I6" i="5"/>
  <c r="G6" i="5"/>
  <c r="H6" i="5" s="1"/>
  <c r="E6" i="5"/>
  <c r="D6" i="5"/>
  <c r="Q5" i="5"/>
  <c r="L5" i="5"/>
  <c r="K5" i="5"/>
  <c r="I5" i="5"/>
  <c r="G5" i="5"/>
  <c r="H5" i="5" s="1"/>
  <c r="E5" i="5"/>
  <c r="D5" i="5"/>
  <c r="Q4" i="5"/>
  <c r="K4" i="5"/>
  <c r="M4" i="5" s="1"/>
  <c r="I4" i="5"/>
  <c r="G4" i="5"/>
  <c r="H4" i="5" s="1"/>
  <c r="E4" i="5"/>
  <c r="D4" i="5"/>
  <c r="F11" i="5" l="1"/>
  <c r="M12" i="5"/>
  <c r="N12" i="5" s="1"/>
  <c r="F10" i="5"/>
  <c r="M11" i="5"/>
  <c r="N11" i="5" s="1"/>
  <c r="F9" i="5"/>
  <c r="F8" i="5"/>
  <c r="M9" i="5"/>
  <c r="M8" i="5"/>
  <c r="N8" i="5" s="1"/>
  <c r="F7" i="5"/>
  <c r="O7" i="5" s="1"/>
  <c r="P7" i="5" s="1"/>
  <c r="M6" i="5"/>
  <c r="N6" i="5" s="1"/>
  <c r="F15" i="6"/>
  <c r="F69" i="6"/>
  <c r="F73" i="6"/>
  <c r="F17" i="6"/>
  <c r="F9" i="6"/>
  <c r="F5" i="5"/>
  <c r="F6" i="5"/>
  <c r="F4" i="5"/>
  <c r="F45" i="6"/>
  <c r="F47" i="6" s="1"/>
  <c r="E51" i="6" s="1"/>
  <c r="F18" i="6"/>
  <c r="F72" i="6"/>
  <c r="F74" i="6" s="1"/>
  <c r="E78" i="6" s="1"/>
  <c r="G78" i="6" s="1"/>
  <c r="H78" i="6" s="1"/>
  <c r="F70" i="6"/>
  <c r="E81" i="6" s="1"/>
  <c r="E83" i="6" s="1"/>
  <c r="G83" i="6" s="1"/>
  <c r="H83" i="6" s="1"/>
  <c r="F19" i="6"/>
  <c r="N9" i="5"/>
  <c r="O9" i="5" s="1"/>
  <c r="S9" i="5" s="1"/>
  <c r="M5" i="5"/>
  <c r="N5" i="5" s="1"/>
  <c r="O5" i="5" s="1"/>
  <c r="F12" i="5"/>
  <c r="F13" i="6"/>
  <c r="F16" i="6" s="1"/>
  <c r="E27" i="6" s="1"/>
  <c r="E28" i="6" s="1"/>
  <c r="G28" i="6" s="1"/>
  <c r="H28" i="6" s="1"/>
  <c r="F10" i="6"/>
  <c r="F65" i="6"/>
  <c r="F11" i="6"/>
  <c r="F38" i="6"/>
  <c r="F37" i="6"/>
  <c r="F63" i="6"/>
  <c r="N4" i="5"/>
  <c r="F43" i="6"/>
  <c r="E54" i="6" s="1"/>
  <c r="N10" i="5"/>
  <c r="E18" i="7"/>
  <c r="B22" i="7"/>
  <c r="B23" i="7"/>
  <c r="F66" i="6" l="1"/>
  <c r="E84" i="6" s="1"/>
  <c r="E86" i="6" s="1"/>
  <c r="G86" i="6" s="1"/>
  <c r="H86" i="6" s="1"/>
  <c r="F39" i="6"/>
  <c r="E57" i="6" s="1"/>
  <c r="O11" i="5"/>
  <c r="P11" i="5" s="1"/>
  <c r="O10" i="5"/>
  <c r="P10" i="5" s="1"/>
  <c r="O8" i="5"/>
  <c r="S8" i="5" s="1"/>
  <c r="O6" i="5"/>
  <c r="S6" i="5" s="1"/>
  <c r="E82" i="6"/>
  <c r="G82" i="6" s="1"/>
  <c r="H82" i="6" s="1"/>
  <c r="F20" i="6"/>
  <c r="E24" i="6" s="1"/>
  <c r="E79" i="6"/>
  <c r="G79" i="6" s="1"/>
  <c r="H79" i="6" s="1"/>
  <c r="E80" i="6"/>
  <c r="G80" i="6" s="1"/>
  <c r="H80" i="6" s="1"/>
  <c r="G81" i="6"/>
  <c r="H81" i="6" s="1"/>
  <c r="E29" i="6"/>
  <c r="G29" i="6" s="1"/>
  <c r="H29" i="6" s="1"/>
  <c r="G27" i="6"/>
  <c r="H27" i="6" s="1"/>
  <c r="O4" i="5"/>
  <c r="S4" i="5" s="1"/>
  <c r="S7" i="5"/>
  <c r="R7" i="5"/>
  <c r="E53" i="6"/>
  <c r="G53" i="6" s="1"/>
  <c r="H53" i="6" s="1"/>
  <c r="G51" i="6"/>
  <c r="H51" i="6" s="1"/>
  <c r="E52" i="6"/>
  <c r="G52" i="6" s="1"/>
  <c r="H52" i="6" s="1"/>
  <c r="E26" i="6"/>
  <c r="G26" i="6" s="1"/>
  <c r="H26" i="6" s="1"/>
  <c r="E25" i="6"/>
  <c r="G25" i="6" s="1"/>
  <c r="H25" i="6" s="1"/>
  <c r="G24" i="6"/>
  <c r="H24" i="6" s="1"/>
  <c r="O12" i="5"/>
  <c r="S12" i="5" s="1"/>
  <c r="R9" i="5"/>
  <c r="F12" i="6"/>
  <c r="E30" i="6" s="1"/>
  <c r="E31" i="6" s="1"/>
  <c r="G31" i="6" s="1"/>
  <c r="H31" i="6" s="1"/>
  <c r="G84" i="6"/>
  <c r="H84" i="6" s="1"/>
  <c r="E85" i="6"/>
  <c r="G85" i="6" s="1"/>
  <c r="H85" i="6" s="1"/>
  <c r="E59" i="6"/>
  <c r="G59" i="6" s="1"/>
  <c r="H59" i="6" s="1"/>
  <c r="E58" i="6"/>
  <c r="G58" i="6" s="1"/>
  <c r="H58" i="6" s="1"/>
  <c r="G57" i="6"/>
  <c r="H57" i="6" s="1"/>
  <c r="S5" i="5"/>
  <c r="R5" i="5"/>
  <c r="C36" i="7"/>
  <c r="D36" i="7" s="1"/>
  <c r="E36" i="7" s="1"/>
  <c r="C30" i="7"/>
  <c r="D30" i="7" s="1"/>
  <c r="E30" i="7" s="1"/>
  <c r="C34" i="7"/>
  <c r="D34" i="7" s="1"/>
  <c r="E34" i="7" s="1"/>
  <c r="C35" i="7"/>
  <c r="D35" i="7" s="1"/>
  <c r="E35" i="7" s="1"/>
  <c r="C29" i="7"/>
  <c r="D29" i="7" s="1"/>
  <c r="E29" i="7" s="1"/>
  <c r="C28" i="7"/>
  <c r="D28" i="7" s="1"/>
  <c r="E28" i="7" s="1"/>
  <c r="C33" i="7"/>
  <c r="D33" i="7" s="1"/>
  <c r="E33" i="7" s="1"/>
  <c r="C32" i="7"/>
  <c r="D32" i="7" s="1"/>
  <c r="E32" i="7" s="1"/>
  <c r="C31" i="7"/>
  <c r="D31" i="7" s="1"/>
  <c r="E31" i="7" s="1"/>
  <c r="C24" i="7"/>
  <c r="E55" i="6"/>
  <c r="G55" i="6" s="1"/>
  <c r="H55" i="6" s="1"/>
  <c r="E56" i="6"/>
  <c r="G56" i="6" s="1"/>
  <c r="H56" i="6" s="1"/>
  <c r="G54" i="6"/>
  <c r="H54" i="6" s="1"/>
  <c r="P5" i="5"/>
  <c r="C22" i="7"/>
  <c r="P8" i="5"/>
  <c r="P9" i="5"/>
  <c r="C23" i="7"/>
  <c r="R11" i="5" l="1"/>
  <c r="S11" i="5"/>
  <c r="E32" i="6"/>
  <c r="G32" i="6" s="1"/>
  <c r="H32" i="6" s="1"/>
  <c r="G30" i="6"/>
  <c r="H30" i="6" s="1"/>
  <c r="R10" i="5"/>
  <c r="S10" i="5"/>
  <c r="R8" i="5"/>
  <c r="R6" i="5"/>
  <c r="P6" i="5"/>
  <c r="R4" i="5"/>
  <c r="P4" i="5"/>
  <c r="R12" i="5"/>
  <c r="P12" i="5"/>
  <c r="H33" i="6" l="1"/>
</calcChain>
</file>

<file path=xl/sharedStrings.xml><?xml version="1.0" encoding="utf-8"?>
<sst xmlns="http://schemas.openxmlformats.org/spreadsheetml/2006/main" count="356" uniqueCount="124">
  <si>
    <t>名称</t>
  </si>
  <si>
    <t>基础价格</t>
  </si>
  <si>
    <t>硅</t>
  </si>
  <si>
    <t>芯片</t>
  </si>
  <si>
    <t>手机</t>
  </si>
  <si>
    <t>棉花</t>
  </si>
  <si>
    <t>布料</t>
  </si>
  <si>
    <t>服装</t>
  </si>
  <si>
    <t>小麦</t>
  </si>
  <si>
    <t>面粉</t>
  </si>
  <si>
    <t>食品</t>
  </si>
  <si>
    <t>输入商品</t>
  </si>
  <si>
    <t>输入数量</t>
  </si>
  <si>
    <t>输出商品</t>
  </si>
  <si>
    <t>输出数量</t>
  </si>
  <si>
    <t>科技品质权重</t>
  </si>
  <si>
    <t>硅矿开采</t>
  </si>
  <si>
    <t>(无)</t>
  </si>
  <si>
    <t>芯片制造</t>
  </si>
  <si>
    <t>手机组装</t>
  </si>
  <si>
    <t>棉花种植</t>
  </si>
  <si>
    <t>布料加工</t>
  </si>
  <si>
    <t>服装生产</t>
  </si>
  <si>
    <t>小麦种植</t>
  </si>
  <si>
    <t>面粉加工</t>
  </si>
  <si>
    <t>食品生产</t>
  </si>
  <si>
    <t>配方</t>
  </si>
  <si>
    <t>劳动力需求</t>
  </si>
  <si>
    <t>建造成本</t>
  </si>
  <si>
    <t>维护费</t>
  </si>
  <si>
    <t>建造时间</t>
  </si>
  <si>
    <t>硅矿场</t>
  </si>
  <si>
    <t>芯片工厂</t>
  </si>
  <si>
    <t>手机工厂</t>
  </si>
  <si>
    <t>棉花农场</t>
  </si>
  <si>
    <t>纺织厂</t>
  </si>
  <si>
    <t>服装厂</t>
  </si>
  <si>
    <t>麦田</t>
  </si>
  <si>
    <t>面粉厂</t>
  </si>
  <si>
    <t>食品厂</t>
  </si>
  <si>
    <t>群体名称</t>
  </si>
  <si>
    <t>人口</t>
  </si>
  <si>
    <t>品质权重</t>
  </si>
  <si>
    <t>品牌权重</t>
  </si>
  <si>
    <t>价格权重</t>
  </si>
  <si>
    <t>劳动参与率</t>
  </si>
  <si>
    <t>人均劳动力</t>
  </si>
  <si>
    <t>食品-人均需求</t>
  </si>
  <si>
    <t>食品-敏感度</t>
  </si>
  <si>
    <t>服装-人均需求</t>
  </si>
  <si>
    <t>服装-敏感度</t>
  </si>
  <si>
    <t>手机-人均需求</t>
  </si>
  <si>
    <t>手机-敏感度</t>
  </si>
  <si>
    <t>低收入群体</t>
  </si>
  <si>
    <t>中等收入群体</t>
  </si>
  <si>
    <t>高收入群体</t>
  </si>
  <si>
    <t>统一工资</t>
  </si>
  <si>
    <t>工厂名称</t>
  </si>
  <si>
    <t>产业链</t>
  </si>
  <si>
    <t>产出商品</t>
  </si>
  <si>
    <t>产出数量</t>
  </si>
  <si>
    <t>商品售价</t>
  </si>
  <si>
    <t>收入</t>
  </si>
  <si>
    <t>工资支出</t>
  </si>
  <si>
    <t>原料单价</t>
  </si>
  <si>
    <t>原料成本</t>
  </si>
  <si>
    <t>总成本</t>
  </si>
  <si>
    <t>利润</t>
  </si>
  <si>
    <t>利润率</t>
  </si>
  <si>
    <t>单回合ROI</t>
  </si>
  <si>
    <t>回本回合数</t>
  </si>
  <si>
    <t>电子</t>
  </si>
  <si>
    <t>纺织</t>
  </si>
  <si>
    <t>经济周期参数</t>
  </si>
  <si>
    <t>短周期振幅 A1</t>
  </si>
  <si>
    <t>长周期振幅 A2</t>
  </si>
  <si>
    <t>理论最高指数</t>
  </si>
  <si>
    <t>理论最低指数</t>
  </si>
  <si>
    <t>经济指数 = 0 (基准)</t>
  </si>
  <si>
    <t>商品</t>
  </si>
  <si>
    <t>群体</t>
  </si>
  <si>
    <t>人均需求</t>
  </si>
  <si>
    <t>敏感度</t>
  </si>
  <si>
    <t>需求量</t>
  </si>
  <si>
    <t>食品 合计</t>
  </si>
  <si>
    <t>服装 合计</t>
  </si>
  <si>
    <t>手机 合计</t>
  </si>
  <si>
    <t>所需工厂数量 (经济指数 = 0 (基准))</t>
  </si>
  <si>
    <t>层级</t>
  </si>
  <si>
    <t>工厂类型</t>
  </si>
  <si>
    <t>单厂产出</t>
  </si>
  <si>
    <t>终端需求</t>
  </si>
  <si>
    <t>原料需求系数</t>
  </si>
  <si>
    <t>所需产量</t>
  </si>
  <si>
    <t>所需工厂数(向上取整)</t>
  </si>
  <si>
    <t>终端</t>
  </si>
  <si>
    <t>中间</t>
  </si>
  <si>
    <t>原料</t>
  </si>
  <si>
    <t>经济指数 = 0.7 (繁荣顶峰)</t>
  </si>
  <si>
    <t>所需工厂数量 (经济指数 = 0.7 (繁荣顶峰))</t>
  </si>
  <si>
    <t>经济指数 = -0.7 (衰退谷底)</t>
  </si>
  <si>
    <t>所需工厂数量 (经济指数 = -0.7 (衰退谷底))</t>
  </si>
  <si>
    <t>各部门初始现金明细</t>
  </si>
  <si>
    <t>类别</t>
  </si>
  <si>
    <t>数量</t>
  </si>
  <si>
    <t>单位现金</t>
  </si>
  <si>
    <t>小计</t>
  </si>
  <si>
    <t>企业</t>
  </si>
  <si>
    <t>企业合计</t>
  </si>
  <si>
    <t>银行</t>
  </si>
  <si>
    <t>银行A</t>
  </si>
  <si>
    <t>银行B</t>
  </si>
  <si>
    <t>银行合计</t>
  </si>
  <si>
    <t>居民</t>
  </si>
  <si>
    <t>全体居民(3群体)</t>
  </si>
  <si>
    <t>系统现金总量</t>
  </si>
  <si>
    <t>现金分布占比</t>
  </si>
  <si>
    <t>部门</t>
  </si>
  <si>
    <t>现金</t>
  </si>
  <si>
    <t>占比</t>
  </si>
  <si>
    <t>现金总量 / 工厂建造成本</t>
  </si>
  <si>
    <t>现金总量</t>
  </si>
  <si>
    <t>可建造数量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</si>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</sst>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rgb="FFFFFFCC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6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0" borderId="0" xfId="0"/>
    <xf numFmtId="0" fontId="0" fillId="5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17" sqref="D17"/>
    </sheetView>
  </sheetViews>
  <sheetFormatPr defaultRowHeight="14.4" x14ac:dyDescent="0.25"/>
  <cols>
    <col min="1" max="1" width="10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25</v>
      </c>
    </row>
    <row r="3" spans="1:2" x14ac:dyDescent="0.25">
      <c r="A3" s="2" t="s">
        <v>3</v>
      </c>
      <c r="B3" s="2">
        <v>75</v>
      </c>
    </row>
    <row r="4" spans="1:2" x14ac:dyDescent="0.25">
      <c r="A4" s="2" t="s">
        <v>4</v>
      </c>
      <c r="B4" s="2">
        <v>700</v>
      </c>
    </row>
    <row r="5" spans="1:2" x14ac:dyDescent="0.25">
      <c r="A5" s="3" t="s">
        <v>5</v>
      </c>
      <c r="B5" s="3">
        <v>42</v>
      </c>
    </row>
    <row r="6" spans="1:2" x14ac:dyDescent="0.25">
      <c r="A6" s="3" t="s">
        <v>6</v>
      </c>
      <c r="B6" s="3">
        <v>140</v>
      </c>
    </row>
    <row r="7" spans="1:2" x14ac:dyDescent="0.25">
      <c r="A7" s="3" t="s">
        <v>7</v>
      </c>
      <c r="B7" s="3">
        <v>330</v>
      </c>
    </row>
    <row r="8" spans="1:2" x14ac:dyDescent="0.25">
      <c r="A8" s="4" t="s">
        <v>8</v>
      </c>
      <c r="B8" s="4">
        <v>10</v>
      </c>
    </row>
    <row r="9" spans="1:2" x14ac:dyDescent="0.25">
      <c r="A9" s="4" t="s">
        <v>9</v>
      </c>
      <c r="B9" s="4">
        <v>70</v>
      </c>
    </row>
    <row r="10" spans="1:2" x14ac:dyDescent="0.25">
      <c r="A10" s="4" t="s">
        <v>10</v>
      </c>
      <c r="B10" s="4">
        <v>120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E14" sqref="E14"/>
    </sheetView>
  </sheetViews>
  <sheetFormatPr defaultRowHeight="14.4" x14ac:dyDescent="0.25"/>
  <cols>
    <col min="1" max="5" width="12" customWidth="1"/>
    <col min="6" max="6" width="16" customWidth="1"/>
  </cols>
  <sheetData>
    <row r="1" spans="1:6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2" t="s">
        <v>16</v>
      </c>
      <c r="B2" s="2" t="s">
        <v>17</v>
      </c>
      <c r="C2" s="2">
        <v>0</v>
      </c>
      <c r="D2" s="2" t="s">
        <v>2</v>
      </c>
      <c r="E2" s="2">
        <v>4000</v>
      </c>
      <c r="F2" s="2">
        <v>1</v>
      </c>
    </row>
    <row r="3" spans="1:6" x14ac:dyDescent="0.25">
      <c r="A3" s="2" t="s">
        <v>18</v>
      </c>
      <c r="B3" s="2" t="s">
        <v>2</v>
      </c>
      <c r="C3" s="2">
        <v>2000</v>
      </c>
      <c r="D3" s="2" t="s">
        <v>3</v>
      </c>
      <c r="E3" s="2">
        <v>1200</v>
      </c>
      <c r="F3" s="2">
        <v>0.6</v>
      </c>
    </row>
    <row r="4" spans="1:6" x14ac:dyDescent="0.25">
      <c r="A4" s="2" t="s">
        <v>19</v>
      </c>
      <c r="B4" s="2" t="s">
        <v>3</v>
      </c>
      <c r="C4" s="2">
        <v>600</v>
      </c>
      <c r="D4" s="2" t="s">
        <v>4</v>
      </c>
      <c r="E4" s="2">
        <v>125</v>
      </c>
      <c r="F4" s="2">
        <v>0.5</v>
      </c>
    </row>
    <row r="5" spans="1:6" x14ac:dyDescent="0.25">
      <c r="A5" s="3" t="s">
        <v>20</v>
      </c>
      <c r="B5" s="3" t="s">
        <v>17</v>
      </c>
      <c r="C5" s="3">
        <v>0</v>
      </c>
      <c r="D5" s="3" t="s">
        <v>5</v>
      </c>
      <c r="E5" s="3">
        <v>700</v>
      </c>
      <c r="F5" s="3">
        <v>1</v>
      </c>
    </row>
    <row r="6" spans="1:6" x14ac:dyDescent="0.25">
      <c r="A6" s="3" t="s">
        <v>21</v>
      </c>
      <c r="B6" s="3" t="s">
        <v>5</v>
      </c>
      <c r="C6" s="3">
        <v>500</v>
      </c>
      <c r="D6" s="3" t="s">
        <v>6</v>
      </c>
      <c r="E6" s="3">
        <v>340</v>
      </c>
      <c r="F6" s="3">
        <v>0.6</v>
      </c>
    </row>
    <row r="7" spans="1:6" x14ac:dyDescent="0.25">
      <c r="A7" s="3" t="s">
        <v>22</v>
      </c>
      <c r="B7" s="3" t="s">
        <v>6</v>
      </c>
      <c r="C7" s="3">
        <v>300</v>
      </c>
      <c r="D7" s="3" t="s">
        <v>7</v>
      </c>
      <c r="E7" s="3">
        <v>200</v>
      </c>
      <c r="F7" s="3">
        <v>0.5</v>
      </c>
    </row>
    <row r="8" spans="1:6" x14ac:dyDescent="0.25">
      <c r="A8" s="4" t="s">
        <v>23</v>
      </c>
      <c r="B8" s="4" t="s">
        <v>17</v>
      </c>
      <c r="C8" s="4">
        <v>0</v>
      </c>
      <c r="D8" s="4" t="s">
        <v>8</v>
      </c>
      <c r="E8" s="4">
        <v>3000</v>
      </c>
      <c r="F8" s="4">
        <v>1</v>
      </c>
    </row>
    <row r="9" spans="1:6" x14ac:dyDescent="0.25">
      <c r="A9" s="4" t="s">
        <v>24</v>
      </c>
      <c r="B9" s="4" t="s">
        <v>8</v>
      </c>
      <c r="C9" s="4">
        <v>2000</v>
      </c>
      <c r="D9" s="4" t="s">
        <v>9</v>
      </c>
      <c r="E9" s="4">
        <v>1000</v>
      </c>
      <c r="F9" s="4">
        <v>0.6</v>
      </c>
    </row>
    <row r="10" spans="1:6" x14ac:dyDescent="0.25">
      <c r="A10" s="4" t="s">
        <v>25</v>
      </c>
      <c r="B10" s="4" t="s">
        <v>9</v>
      </c>
      <c r="C10" s="4">
        <v>1000</v>
      </c>
      <c r="D10" s="4" t="s">
        <v>10</v>
      </c>
      <c r="E10" s="4">
        <v>800</v>
      </c>
      <c r="F10" s="4">
        <v>0.5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D16" sqref="D16"/>
    </sheetView>
  </sheetViews>
  <sheetFormatPr defaultRowHeight="14.4" x14ac:dyDescent="0.25"/>
  <cols>
    <col min="1" max="2" width="12" customWidth="1"/>
    <col min="3" max="3" width="14" customWidth="1"/>
    <col min="4" max="4" width="12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s="2" t="s">
        <v>31</v>
      </c>
      <c r="B2" s="2" t="s">
        <v>16</v>
      </c>
      <c r="C2" s="2">
        <v>200</v>
      </c>
      <c r="D2" s="2">
        <v>80000</v>
      </c>
      <c r="E2" s="2">
        <v>10000</v>
      </c>
      <c r="F2" s="2">
        <v>2</v>
      </c>
    </row>
    <row r="3" spans="1:6" x14ac:dyDescent="0.25">
      <c r="A3" s="2" t="s">
        <v>32</v>
      </c>
      <c r="B3" s="2" t="s">
        <v>18</v>
      </c>
      <c r="C3" s="2">
        <v>60</v>
      </c>
      <c r="D3" s="2">
        <v>50000</v>
      </c>
      <c r="E3" s="2">
        <v>7000</v>
      </c>
      <c r="F3" s="2">
        <v>2</v>
      </c>
    </row>
    <row r="4" spans="1:6" x14ac:dyDescent="0.25">
      <c r="A4" s="2" t="s">
        <v>33</v>
      </c>
      <c r="B4" s="2" t="s">
        <v>19</v>
      </c>
      <c r="C4" s="2">
        <v>40</v>
      </c>
      <c r="D4" s="2">
        <v>70000</v>
      </c>
      <c r="E4" s="2">
        <v>8000</v>
      </c>
      <c r="F4" s="2">
        <v>2</v>
      </c>
    </row>
    <row r="5" spans="1:6" x14ac:dyDescent="0.25">
      <c r="A5" s="3" t="s">
        <v>34</v>
      </c>
      <c r="B5" s="3" t="s">
        <v>20</v>
      </c>
      <c r="C5" s="3">
        <v>60</v>
      </c>
      <c r="D5" s="3">
        <v>30000</v>
      </c>
      <c r="E5" s="3">
        <v>2000</v>
      </c>
      <c r="F5" s="3">
        <v>2</v>
      </c>
    </row>
    <row r="6" spans="1:6" x14ac:dyDescent="0.25">
      <c r="A6" s="3" t="s">
        <v>35</v>
      </c>
      <c r="B6" s="3" t="s">
        <v>21</v>
      </c>
      <c r="C6" s="3">
        <v>40</v>
      </c>
      <c r="D6" s="3">
        <v>60000</v>
      </c>
      <c r="E6" s="3">
        <v>3000</v>
      </c>
      <c r="F6" s="3">
        <v>2</v>
      </c>
    </row>
    <row r="7" spans="1:6" x14ac:dyDescent="0.25">
      <c r="A7" s="3" t="s">
        <v>36</v>
      </c>
      <c r="B7" s="3" t="s">
        <v>22</v>
      </c>
      <c r="C7" s="3">
        <v>40</v>
      </c>
      <c r="D7" s="3">
        <v>50000</v>
      </c>
      <c r="E7" s="3">
        <v>2000</v>
      </c>
      <c r="F7" s="3">
        <v>2</v>
      </c>
    </row>
    <row r="8" spans="1:6" x14ac:dyDescent="0.25">
      <c r="A8" s="4" t="s">
        <v>37</v>
      </c>
      <c r="B8" s="4" t="s">
        <v>23</v>
      </c>
      <c r="C8" s="4">
        <v>60</v>
      </c>
      <c r="D8" s="4">
        <v>40000</v>
      </c>
      <c r="E8" s="4">
        <v>1000</v>
      </c>
      <c r="F8" s="4">
        <v>2</v>
      </c>
    </row>
    <row r="9" spans="1:6" x14ac:dyDescent="0.25">
      <c r="A9" s="4" t="s">
        <v>38</v>
      </c>
      <c r="B9" s="4" t="s">
        <v>24</v>
      </c>
      <c r="C9" s="4">
        <v>100</v>
      </c>
      <c r="D9" s="4">
        <v>40000</v>
      </c>
      <c r="E9" s="4">
        <v>2500</v>
      </c>
      <c r="F9" s="4">
        <v>2</v>
      </c>
    </row>
    <row r="10" spans="1:6" x14ac:dyDescent="0.25">
      <c r="A10" s="4" t="s">
        <v>39</v>
      </c>
      <c r="B10" s="4" t="s">
        <v>25</v>
      </c>
      <c r="C10" s="4">
        <v>40</v>
      </c>
      <c r="D10" s="4">
        <v>45000</v>
      </c>
      <c r="E10" s="4">
        <v>2800</v>
      </c>
      <c r="F10" s="4">
        <v>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>
      <selection activeCell="I7" sqref="I7"/>
    </sheetView>
  </sheetViews>
  <sheetFormatPr defaultRowHeight="14.4" x14ac:dyDescent="0.25"/>
  <cols>
    <col min="1" max="1" width="16" customWidth="1"/>
    <col min="2" max="2" width="10" customWidth="1"/>
    <col min="3" max="5" width="12" customWidth="1"/>
    <col min="6" max="7" width="14" customWidth="1"/>
    <col min="8" max="8" width="17" customWidth="1"/>
    <col min="9" max="9" width="15" customWidth="1"/>
    <col min="10" max="10" width="17" customWidth="1"/>
    <col min="11" max="11" width="15" customWidth="1"/>
    <col min="12" max="12" width="17" customWidth="1"/>
    <col min="13" max="13" width="15" customWidth="1"/>
  </cols>
  <sheetData>
    <row r="1" spans="1:13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25">
      <c r="A2" s="5" t="s">
        <v>53</v>
      </c>
      <c r="B2" s="5">
        <v>6000</v>
      </c>
      <c r="C2" s="5">
        <v>0.4</v>
      </c>
      <c r="D2" s="5">
        <v>0.05</v>
      </c>
      <c r="E2" s="5">
        <v>0.55000000000000004</v>
      </c>
      <c r="F2" s="5">
        <v>0.7</v>
      </c>
      <c r="G2" s="5">
        <v>1</v>
      </c>
      <c r="H2" s="5">
        <v>1</v>
      </c>
      <c r="I2" s="5">
        <v>0.1</v>
      </c>
      <c r="J2" s="5">
        <v>0.2</v>
      </c>
      <c r="K2" s="5">
        <v>0.5</v>
      </c>
      <c r="L2" s="5">
        <v>0.1</v>
      </c>
      <c r="M2" s="5">
        <v>0.8</v>
      </c>
    </row>
    <row r="3" spans="1:13" x14ac:dyDescent="0.25">
      <c r="A3" s="5" t="s">
        <v>54</v>
      </c>
      <c r="B3" s="5">
        <v>3000</v>
      </c>
      <c r="C3" s="5">
        <v>0.35</v>
      </c>
      <c r="D3" s="5">
        <v>0.35</v>
      </c>
      <c r="E3" s="5">
        <v>0.3</v>
      </c>
      <c r="F3" s="5">
        <v>0.6</v>
      </c>
      <c r="G3" s="5">
        <v>1</v>
      </c>
      <c r="H3" s="5">
        <v>1.2</v>
      </c>
      <c r="I3" s="5">
        <v>0.2</v>
      </c>
      <c r="J3" s="5">
        <v>0.5</v>
      </c>
      <c r="K3" s="5">
        <v>0.5</v>
      </c>
      <c r="L3" s="5">
        <v>0.4</v>
      </c>
      <c r="M3" s="5">
        <v>0.7</v>
      </c>
    </row>
    <row r="4" spans="1:13" x14ac:dyDescent="0.25">
      <c r="A4" s="5" t="s">
        <v>55</v>
      </c>
      <c r="B4" s="5">
        <v>1000</v>
      </c>
      <c r="C4" s="5">
        <v>0.15</v>
      </c>
      <c r="D4" s="5">
        <v>0.75</v>
      </c>
      <c r="E4" s="5">
        <v>0.1</v>
      </c>
      <c r="F4" s="5">
        <v>0.4</v>
      </c>
      <c r="G4" s="5">
        <v>1</v>
      </c>
      <c r="H4" s="5">
        <v>1.5</v>
      </c>
      <c r="I4" s="5">
        <v>0.05</v>
      </c>
      <c r="J4" s="5">
        <v>0.7</v>
      </c>
      <c r="K4" s="5">
        <v>0.3</v>
      </c>
      <c r="L4" s="5">
        <v>0.7</v>
      </c>
      <c r="M4" s="5">
        <v>0.4</v>
      </c>
    </row>
    <row r="5" spans="1:13" x14ac:dyDescent="0.25">
      <c r="B5">
        <f>SUM(B2:B4)</f>
        <v>10000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zoomScale="85" zoomScaleNormal="85" workbookViewId="0">
      <pane ySplit="3" topLeftCell="A4" activePane="bottomLeft" state="frozen"/>
      <selection pane="bottomLeft" activeCell="H38" sqref="H38"/>
    </sheetView>
  </sheetViews>
  <sheetFormatPr defaultRowHeight="14.4" x14ac:dyDescent="0.25"/>
  <cols>
    <col min="1" max="1" width="12" customWidth="1"/>
    <col min="2" max="2" width="10" customWidth="1"/>
    <col min="3" max="3" width="12" customWidth="1"/>
    <col min="4" max="4" width="13" customWidth="1"/>
    <col min="5" max="5" width="17" customWidth="1"/>
    <col min="6" max="6" width="12" customWidth="1"/>
    <col min="7" max="7" width="17" customWidth="1"/>
    <col min="8" max="8" width="13" customWidth="1"/>
    <col min="9" max="9" width="17" customWidth="1"/>
    <col min="10" max="10" width="12" customWidth="1"/>
    <col min="11" max="11" width="13" customWidth="1"/>
    <col min="12" max="12" width="16" customWidth="1"/>
    <col min="13" max="13" width="12" customWidth="1"/>
    <col min="14" max="14" width="16" customWidth="1"/>
    <col min="15" max="15" width="12" customWidth="1"/>
    <col min="16" max="16" width="24" customWidth="1"/>
    <col min="17" max="17" width="17" customWidth="1"/>
    <col min="18" max="18" width="24" customWidth="1"/>
    <col min="19" max="19" width="30" customWidth="1"/>
  </cols>
  <sheetData>
    <row r="1" spans="1:19" x14ac:dyDescent="0.25">
      <c r="A1" s="6" t="s">
        <v>56</v>
      </c>
      <c r="B1" s="7">
        <v>400</v>
      </c>
    </row>
    <row r="3" spans="1:19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27</v>
      </c>
      <c r="H3" s="1" t="s">
        <v>63</v>
      </c>
      <c r="I3" s="1" t="s">
        <v>29</v>
      </c>
      <c r="J3" s="1" t="s">
        <v>11</v>
      </c>
      <c r="K3" s="1" t="s">
        <v>12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28</v>
      </c>
      <c r="R3" s="1" t="s">
        <v>69</v>
      </c>
      <c r="S3" s="1" t="s">
        <v>70</v>
      </c>
    </row>
    <row r="4" spans="1:19" x14ac:dyDescent="0.25">
      <c r="A4" s="2" t="s">
        <v>31</v>
      </c>
      <c r="B4" s="2" t="s">
        <v>71</v>
      </c>
      <c r="C4" s="2" t="s">
        <v>2</v>
      </c>
      <c r="D4" s="4">
        <f>配方!E2</f>
        <v>4000</v>
      </c>
      <c r="E4" s="4">
        <f>商品类型!B2</f>
        <v>25</v>
      </c>
      <c r="F4" s="4">
        <f t="shared" ref="F4:F12" si="0">D4*E4</f>
        <v>100000</v>
      </c>
      <c r="G4" s="4">
        <f>工厂类型!C2</f>
        <v>200</v>
      </c>
      <c r="H4" s="4">
        <f t="shared" ref="H4:H12" si="1">G4*$B$1</f>
        <v>80000</v>
      </c>
      <c r="I4" s="4">
        <f>工厂类型!E2</f>
        <v>10000</v>
      </c>
      <c r="J4" s="2" t="s">
        <v>17</v>
      </c>
      <c r="K4" s="4">
        <f>配方!C2</f>
        <v>0</v>
      </c>
      <c r="L4" s="2">
        <v>0</v>
      </c>
      <c r="M4" s="4">
        <f t="shared" ref="M4:M12" si="2">K4*L4</f>
        <v>0</v>
      </c>
      <c r="N4" s="4">
        <f t="shared" ref="N4:N12" si="3">H4+I4+M4</f>
        <v>90000</v>
      </c>
      <c r="O4" s="4">
        <f t="shared" ref="O4:O12" si="4">F4-N4</f>
        <v>10000</v>
      </c>
      <c r="P4" s="8">
        <f t="shared" ref="P4:P12" si="5">IF(F4=0,0,O4/F4)</f>
        <v>0.1</v>
      </c>
      <c r="Q4" s="4">
        <f>工厂类型!D2</f>
        <v>80000</v>
      </c>
      <c r="R4" s="8">
        <f t="shared" ref="R4:R12" si="6">IF(Q4=0,0,O4/Q4)</f>
        <v>0.125</v>
      </c>
      <c r="S4" s="9">
        <f t="shared" ref="S4:S12" si="7">IF(O4&lt;=0,"亏损",Q4/O4)</f>
        <v>8</v>
      </c>
    </row>
    <row r="5" spans="1:19" x14ac:dyDescent="0.25">
      <c r="A5" s="2" t="s">
        <v>32</v>
      </c>
      <c r="B5" s="2" t="s">
        <v>71</v>
      </c>
      <c r="C5" s="2" t="s">
        <v>3</v>
      </c>
      <c r="D5" s="4">
        <f>配方!E3</f>
        <v>1200</v>
      </c>
      <c r="E5" s="4">
        <f>商品类型!B3</f>
        <v>75</v>
      </c>
      <c r="F5" s="4">
        <f t="shared" si="0"/>
        <v>90000</v>
      </c>
      <c r="G5" s="4">
        <f>工厂类型!C3</f>
        <v>60</v>
      </c>
      <c r="H5" s="4">
        <f t="shared" si="1"/>
        <v>24000</v>
      </c>
      <c r="I5" s="4">
        <f>工厂类型!E3</f>
        <v>7000</v>
      </c>
      <c r="J5" s="2" t="s">
        <v>2</v>
      </c>
      <c r="K5" s="4">
        <f>配方!C3</f>
        <v>2000</v>
      </c>
      <c r="L5" s="4">
        <f>商品类型!B2</f>
        <v>25</v>
      </c>
      <c r="M5" s="4">
        <f t="shared" si="2"/>
        <v>50000</v>
      </c>
      <c r="N5" s="4">
        <f t="shared" si="3"/>
        <v>81000</v>
      </c>
      <c r="O5" s="4">
        <f t="shared" si="4"/>
        <v>9000</v>
      </c>
      <c r="P5" s="8">
        <f t="shared" si="5"/>
        <v>0.1</v>
      </c>
      <c r="Q5" s="4">
        <f>工厂类型!D3</f>
        <v>50000</v>
      </c>
      <c r="R5" s="8">
        <f t="shared" si="6"/>
        <v>0.18</v>
      </c>
      <c r="S5" s="9">
        <f t="shared" si="7"/>
        <v>5.5555555555555554</v>
      </c>
    </row>
    <row r="6" spans="1:19" x14ac:dyDescent="0.25">
      <c r="A6" s="2" t="s">
        <v>33</v>
      </c>
      <c r="B6" s="2" t="s">
        <v>71</v>
      </c>
      <c r="C6" s="2" t="s">
        <v>4</v>
      </c>
      <c r="D6" s="4">
        <f>配方!E4</f>
        <v>125</v>
      </c>
      <c r="E6" s="4">
        <f>商品类型!B4</f>
        <v>700</v>
      </c>
      <c r="F6" s="4">
        <f t="shared" si="0"/>
        <v>87500</v>
      </c>
      <c r="G6" s="4">
        <f>工厂类型!C4</f>
        <v>40</v>
      </c>
      <c r="H6" s="4">
        <f t="shared" si="1"/>
        <v>16000</v>
      </c>
      <c r="I6" s="4">
        <f>工厂类型!E4</f>
        <v>8000</v>
      </c>
      <c r="J6" s="2" t="s">
        <v>3</v>
      </c>
      <c r="K6" s="4">
        <f>配方!C4</f>
        <v>600</v>
      </c>
      <c r="L6" s="4">
        <f>商品类型!B3</f>
        <v>75</v>
      </c>
      <c r="M6" s="4">
        <f t="shared" si="2"/>
        <v>45000</v>
      </c>
      <c r="N6" s="4">
        <f t="shared" si="3"/>
        <v>69000</v>
      </c>
      <c r="O6" s="4">
        <f t="shared" si="4"/>
        <v>18500</v>
      </c>
      <c r="P6" s="8">
        <f t="shared" si="5"/>
        <v>0.21142857142857144</v>
      </c>
      <c r="Q6" s="4">
        <f>工厂类型!D4</f>
        <v>70000</v>
      </c>
      <c r="R6" s="8">
        <f t="shared" si="6"/>
        <v>0.26428571428571429</v>
      </c>
      <c r="S6" s="9">
        <f t="shared" si="7"/>
        <v>3.7837837837837838</v>
      </c>
    </row>
    <row r="7" spans="1:19" x14ac:dyDescent="0.25">
      <c r="A7" s="3" t="s">
        <v>34</v>
      </c>
      <c r="B7" s="3" t="s">
        <v>72</v>
      </c>
      <c r="C7" s="3" t="s">
        <v>5</v>
      </c>
      <c r="D7" s="4">
        <f>配方!E5</f>
        <v>700</v>
      </c>
      <c r="E7" s="4">
        <f>商品类型!B5</f>
        <v>42</v>
      </c>
      <c r="F7" s="4">
        <f t="shared" si="0"/>
        <v>29400</v>
      </c>
      <c r="G7" s="4">
        <f>工厂类型!C5</f>
        <v>60</v>
      </c>
      <c r="H7" s="4">
        <f t="shared" si="1"/>
        <v>24000</v>
      </c>
      <c r="I7" s="4">
        <f>工厂类型!E5</f>
        <v>2000</v>
      </c>
      <c r="J7" s="3" t="s">
        <v>17</v>
      </c>
      <c r="K7" s="4">
        <f>配方!C5</f>
        <v>0</v>
      </c>
      <c r="L7" s="3">
        <v>0</v>
      </c>
      <c r="M7" s="4">
        <f t="shared" si="2"/>
        <v>0</v>
      </c>
      <c r="N7" s="4">
        <f t="shared" si="3"/>
        <v>26000</v>
      </c>
      <c r="O7" s="4">
        <f t="shared" si="4"/>
        <v>3400</v>
      </c>
      <c r="P7" s="8">
        <f t="shared" si="5"/>
        <v>0.11564625850340136</v>
      </c>
      <c r="Q7" s="4">
        <f>工厂类型!D5</f>
        <v>30000</v>
      </c>
      <c r="R7" s="8">
        <f t="shared" si="6"/>
        <v>0.11333333333333333</v>
      </c>
      <c r="S7" s="9">
        <f t="shared" si="7"/>
        <v>8.8235294117647065</v>
      </c>
    </row>
    <row r="8" spans="1:19" x14ac:dyDescent="0.25">
      <c r="A8" s="3" t="s">
        <v>35</v>
      </c>
      <c r="B8" s="3" t="s">
        <v>72</v>
      </c>
      <c r="C8" s="3" t="s">
        <v>6</v>
      </c>
      <c r="D8" s="4">
        <f>配方!E6</f>
        <v>340</v>
      </c>
      <c r="E8" s="4">
        <f>商品类型!B6</f>
        <v>140</v>
      </c>
      <c r="F8" s="4">
        <f t="shared" si="0"/>
        <v>47600</v>
      </c>
      <c r="G8" s="4">
        <f>工厂类型!C6</f>
        <v>40</v>
      </c>
      <c r="H8" s="4">
        <f t="shared" si="1"/>
        <v>16000</v>
      </c>
      <c r="I8" s="4">
        <f>工厂类型!E6</f>
        <v>3000</v>
      </c>
      <c r="J8" s="3" t="s">
        <v>5</v>
      </c>
      <c r="K8" s="4">
        <f>配方!C6</f>
        <v>500</v>
      </c>
      <c r="L8" s="4">
        <f>商品类型!B5</f>
        <v>42</v>
      </c>
      <c r="M8" s="4">
        <f t="shared" si="2"/>
        <v>21000</v>
      </c>
      <c r="N8" s="4">
        <f t="shared" si="3"/>
        <v>40000</v>
      </c>
      <c r="O8" s="4">
        <f t="shared" si="4"/>
        <v>7600</v>
      </c>
      <c r="P8" s="8">
        <f t="shared" si="5"/>
        <v>0.15966386554621848</v>
      </c>
      <c r="Q8" s="4">
        <f>工厂类型!D6</f>
        <v>60000</v>
      </c>
      <c r="R8" s="8">
        <f t="shared" si="6"/>
        <v>0.12666666666666668</v>
      </c>
      <c r="S8" s="9">
        <f t="shared" si="7"/>
        <v>7.8947368421052628</v>
      </c>
    </row>
    <row r="9" spans="1:19" x14ac:dyDescent="0.25">
      <c r="A9" s="3" t="s">
        <v>36</v>
      </c>
      <c r="B9" s="3" t="s">
        <v>72</v>
      </c>
      <c r="C9" s="3" t="s">
        <v>7</v>
      </c>
      <c r="D9" s="4">
        <f>配方!E7</f>
        <v>200</v>
      </c>
      <c r="E9" s="4">
        <f>商品类型!B7</f>
        <v>330</v>
      </c>
      <c r="F9" s="4">
        <f t="shared" si="0"/>
        <v>66000</v>
      </c>
      <c r="G9" s="4">
        <f>工厂类型!C7</f>
        <v>40</v>
      </c>
      <c r="H9" s="4">
        <f t="shared" si="1"/>
        <v>16000</v>
      </c>
      <c r="I9" s="4">
        <f>工厂类型!E7</f>
        <v>2000</v>
      </c>
      <c r="J9" s="3" t="s">
        <v>6</v>
      </c>
      <c r="K9" s="4">
        <f>配方!C7</f>
        <v>300</v>
      </c>
      <c r="L9" s="4">
        <f>商品类型!B6</f>
        <v>140</v>
      </c>
      <c r="M9" s="4">
        <f t="shared" si="2"/>
        <v>42000</v>
      </c>
      <c r="N9" s="4">
        <f t="shared" si="3"/>
        <v>60000</v>
      </c>
      <c r="O9" s="4">
        <f t="shared" si="4"/>
        <v>6000</v>
      </c>
      <c r="P9" s="8">
        <f t="shared" si="5"/>
        <v>9.0909090909090912E-2</v>
      </c>
      <c r="Q9" s="4">
        <f>工厂类型!D7</f>
        <v>50000</v>
      </c>
      <c r="R9" s="8">
        <f t="shared" si="6"/>
        <v>0.12</v>
      </c>
      <c r="S9" s="9">
        <f t="shared" si="7"/>
        <v>8.3333333333333339</v>
      </c>
    </row>
    <row r="10" spans="1:19" x14ac:dyDescent="0.25">
      <c r="A10" s="4" t="s">
        <v>37</v>
      </c>
      <c r="B10" s="4" t="s">
        <v>10</v>
      </c>
      <c r="C10" s="4" t="s">
        <v>8</v>
      </c>
      <c r="D10" s="4">
        <f>配方!E8</f>
        <v>3000</v>
      </c>
      <c r="E10" s="4">
        <f>商品类型!B8</f>
        <v>10</v>
      </c>
      <c r="F10" s="4">
        <f t="shared" si="0"/>
        <v>30000</v>
      </c>
      <c r="G10" s="4">
        <f>工厂类型!C8</f>
        <v>60</v>
      </c>
      <c r="H10" s="4">
        <f t="shared" si="1"/>
        <v>24000</v>
      </c>
      <c r="I10" s="4">
        <f>工厂类型!E8</f>
        <v>1000</v>
      </c>
      <c r="J10" s="4" t="s">
        <v>17</v>
      </c>
      <c r="K10" s="4">
        <f>配方!C8</f>
        <v>0</v>
      </c>
      <c r="L10" s="4">
        <v>0</v>
      </c>
      <c r="M10" s="4">
        <f t="shared" si="2"/>
        <v>0</v>
      </c>
      <c r="N10" s="4">
        <f t="shared" si="3"/>
        <v>25000</v>
      </c>
      <c r="O10" s="4">
        <f t="shared" si="4"/>
        <v>5000</v>
      </c>
      <c r="P10" s="8">
        <f t="shared" si="5"/>
        <v>0.16666666666666666</v>
      </c>
      <c r="Q10" s="4">
        <f>工厂类型!D8</f>
        <v>40000</v>
      </c>
      <c r="R10" s="8">
        <f t="shared" si="6"/>
        <v>0.125</v>
      </c>
      <c r="S10" s="9">
        <f t="shared" si="7"/>
        <v>8</v>
      </c>
    </row>
    <row r="11" spans="1:19" x14ac:dyDescent="0.25">
      <c r="A11" s="4" t="s">
        <v>38</v>
      </c>
      <c r="B11" s="4" t="s">
        <v>10</v>
      </c>
      <c r="C11" s="4" t="s">
        <v>9</v>
      </c>
      <c r="D11" s="4">
        <f>配方!E9</f>
        <v>1000</v>
      </c>
      <c r="E11" s="4">
        <f>商品类型!B9</f>
        <v>70</v>
      </c>
      <c r="F11" s="4">
        <f t="shared" si="0"/>
        <v>70000</v>
      </c>
      <c r="G11" s="4">
        <f>工厂类型!C9</f>
        <v>100</v>
      </c>
      <c r="H11" s="4">
        <f t="shared" si="1"/>
        <v>40000</v>
      </c>
      <c r="I11" s="4">
        <f>工厂类型!E9</f>
        <v>2500</v>
      </c>
      <c r="J11" s="4" t="s">
        <v>8</v>
      </c>
      <c r="K11" s="4">
        <f>配方!C9</f>
        <v>2000</v>
      </c>
      <c r="L11" s="4">
        <f>商品类型!B8</f>
        <v>10</v>
      </c>
      <c r="M11" s="4">
        <f t="shared" si="2"/>
        <v>20000</v>
      </c>
      <c r="N11" s="4">
        <f t="shared" si="3"/>
        <v>62500</v>
      </c>
      <c r="O11" s="4">
        <f t="shared" si="4"/>
        <v>7500</v>
      </c>
      <c r="P11" s="8">
        <f t="shared" si="5"/>
        <v>0.10714285714285714</v>
      </c>
      <c r="Q11" s="4">
        <f>工厂类型!D9</f>
        <v>40000</v>
      </c>
      <c r="R11" s="8">
        <f t="shared" si="6"/>
        <v>0.1875</v>
      </c>
      <c r="S11" s="9">
        <f t="shared" si="7"/>
        <v>5.333333333333333</v>
      </c>
    </row>
    <row r="12" spans="1:19" x14ac:dyDescent="0.25">
      <c r="A12" s="4" t="s">
        <v>39</v>
      </c>
      <c r="B12" s="4" t="s">
        <v>10</v>
      </c>
      <c r="C12" s="4" t="s">
        <v>10</v>
      </c>
      <c r="D12" s="4">
        <f>配方!E10</f>
        <v>800</v>
      </c>
      <c r="E12" s="4">
        <f>商品类型!B10</f>
        <v>120</v>
      </c>
      <c r="F12" s="4">
        <f t="shared" si="0"/>
        <v>96000</v>
      </c>
      <c r="G12" s="4">
        <f>工厂类型!C10</f>
        <v>40</v>
      </c>
      <c r="H12" s="4">
        <f t="shared" si="1"/>
        <v>16000</v>
      </c>
      <c r="I12" s="4">
        <f>工厂类型!E10</f>
        <v>2800</v>
      </c>
      <c r="J12" s="4" t="s">
        <v>9</v>
      </c>
      <c r="K12" s="4">
        <f>配方!C10</f>
        <v>1000</v>
      </c>
      <c r="L12" s="4">
        <f>商品类型!B9</f>
        <v>70</v>
      </c>
      <c r="M12" s="4">
        <f t="shared" si="2"/>
        <v>70000</v>
      </c>
      <c r="N12" s="4">
        <f t="shared" si="3"/>
        <v>88800</v>
      </c>
      <c r="O12" s="4">
        <f t="shared" si="4"/>
        <v>7200</v>
      </c>
      <c r="P12" s="8">
        <f t="shared" si="5"/>
        <v>7.4999999999999997E-2</v>
      </c>
      <c r="Q12" s="4">
        <f>工厂类型!D10</f>
        <v>45000</v>
      </c>
      <c r="R12" s="8">
        <f t="shared" si="6"/>
        <v>0.16</v>
      </c>
      <c r="S12" s="9">
        <f t="shared" si="7"/>
        <v>6.25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6"/>
  <sheetViews>
    <sheetView workbookViewId="0">
      <pane ySplit="1" topLeftCell="A7" activePane="bottomLeft" state="frozen"/>
      <selection pane="bottomLeft" activeCell="H30" sqref="H30"/>
    </sheetView>
  </sheetViews>
  <sheetFormatPr defaultRowHeight="14.4" x14ac:dyDescent="0.25"/>
  <cols>
    <col min="1" max="1" width="45" customWidth="1"/>
    <col min="2" max="5" width="16" customWidth="1"/>
    <col min="6" max="6" width="42" customWidth="1"/>
    <col min="7" max="7" width="23" customWidth="1"/>
    <col min="8" max="8" width="24" customWidth="1"/>
    <col min="9" max="10" width="10" customWidth="1"/>
  </cols>
  <sheetData>
    <row r="1" spans="1:10" ht="15.6" x14ac:dyDescent="0.25">
      <c r="A1" s="10" t="s">
        <v>73</v>
      </c>
    </row>
    <row r="2" spans="1:10" x14ac:dyDescent="0.25">
      <c r="A2" s="5" t="s">
        <v>74</v>
      </c>
      <c r="B2" s="5">
        <v>0.45</v>
      </c>
    </row>
    <row r="3" spans="1:10" x14ac:dyDescent="0.25">
      <c r="A3" s="5" t="s">
        <v>75</v>
      </c>
      <c r="B3" s="5">
        <v>0.25</v>
      </c>
    </row>
    <row r="4" spans="1:10" x14ac:dyDescent="0.25">
      <c r="A4" s="5" t="s">
        <v>76</v>
      </c>
      <c r="B4" s="5">
        <v>0.7</v>
      </c>
    </row>
    <row r="5" spans="1:10" x14ac:dyDescent="0.25">
      <c r="A5" s="5" t="s">
        <v>77</v>
      </c>
      <c r="B5" s="5">
        <v>-0.7</v>
      </c>
    </row>
    <row r="7" spans="1:10" ht="15.6" x14ac:dyDescent="0.25">
      <c r="A7" s="16" t="s">
        <v>78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1" t="s">
        <v>79</v>
      </c>
      <c r="B8" s="1" t="s">
        <v>80</v>
      </c>
      <c r="C8" s="1" t="s">
        <v>41</v>
      </c>
      <c r="D8" s="1" t="s">
        <v>81</v>
      </c>
      <c r="E8" s="1" t="s">
        <v>82</v>
      </c>
      <c r="F8" s="1" t="s">
        <v>83</v>
      </c>
    </row>
    <row r="9" spans="1:10" x14ac:dyDescent="0.25">
      <c r="A9" s="5" t="s">
        <v>10</v>
      </c>
      <c r="B9" s="5" t="s">
        <v>53</v>
      </c>
      <c r="C9" s="4">
        <f>居民配置!B2</f>
        <v>6000</v>
      </c>
      <c r="D9" s="4">
        <f>居民配置!H2</f>
        <v>1</v>
      </c>
      <c r="E9" s="4">
        <f>居民配置!I2</f>
        <v>0.1</v>
      </c>
      <c r="F9" s="4">
        <f>INT(C9*D9*(1+0*E9))</f>
        <v>6000</v>
      </c>
    </row>
    <row r="10" spans="1:10" x14ac:dyDescent="0.25">
      <c r="A10" s="5"/>
      <c r="B10" s="5" t="s">
        <v>54</v>
      </c>
      <c r="C10" s="4">
        <f>居民配置!B3</f>
        <v>3000</v>
      </c>
      <c r="D10" s="4">
        <f>居民配置!H3</f>
        <v>1.2</v>
      </c>
      <c r="E10" s="4">
        <f>居民配置!I3</f>
        <v>0.2</v>
      </c>
      <c r="F10" s="4">
        <f>INT(C10*D10*(1+0*E10))</f>
        <v>3600</v>
      </c>
    </row>
    <row r="11" spans="1:10" x14ac:dyDescent="0.25">
      <c r="A11" s="5"/>
      <c r="B11" s="5" t="s">
        <v>55</v>
      </c>
      <c r="C11" s="4">
        <f>居民配置!B4</f>
        <v>1000</v>
      </c>
      <c r="D11" s="4">
        <f>居民配置!H4</f>
        <v>1.5</v>
      </c>
      <c r="E11" s="4">
        <f>居民配置!I4</f>
        <v>0.05</v>
      </c>
      <c r="F11" s="4">
        <f>INT(C11*D11*(1+0*E11))</f>
        <v>1500</v>
      </c>
    </row>
    <row r="12" spans="1:10" x14ac:dyDescent="0.25">
      <c r="A12" s="5"/>
      <c r="B12" s="11" t="s">
        <v>84</v>
      </c>
      <c r="C12" s="5"/>
      <c r="D12" s="5"/>
      <c r="E12" s="5"/>
      <c r="F12" s="12">
        <f>F9+F10+F11</f>
        <v>11100</v>
      </c>
    </row>
    <row r="13" spans="1:10" x14ac:dyDescent="0.25">
      <c r="A13" s="5" t="s">
        <v>7</v>
      </c>
      <c r="B13" s="5" t="s">
        <v>53</v>
      </c>
      <c r="C13" s="4">
        <f>居民配置!B2</f>
        <v>6000</v>
      </c>
      <c r="D13" s="4">
        <f>居民配置!J2</f>
        <v>0.2</v>
      </c>
      <c r="E13" s="4">
        <f>居民配置!K2</f>
        <v>0.5</v>
      </c>
      <c r="F13" s="4">
        <f>INT(C13*D13*(1+0*E13))</f>
        <v>1200</v>
      </c>
    </row>
    <row r="14" spans="1:10" x14ac:dyDescent="0.25">
      <c r="A14" s="5"/>
      <c r="B14" s="5" t="s">
        <v>54</v>
      </c>
      <c r="C14" s="4">
        <f>居民配置!B3</f>
        <v>3000</v>
      </c>
      <c r="D14" s="4">
        <f>居民配置!J3</f>
        <v>0.5</v>
      </c>
      <c r="E14" s="4">
        <f>居民配置!K3</f>
        <v>0.5</v>
      </c>
      <c r="F14" s="4">
        <f>INT(C14*D14*(1+0*E14))</f>
        <v>1500</v>
      </c>
    </row>
    <row r="15" spans="1:10" x14ac:dyDescent="0.25">
      <c r="A15" s="5"/>
      <c r="B15" s="5" t="s">
        <v>55</v>
      </c>
      <c r="C15" s="4">
        <f>居民配置!B4</f>
        <v>1000</v>
      </c>
      <c r="D15" s="4">
        <f>居民配置!J4</f>
        <v>0.7</v>
      </c>
      <c r="E15" s="4">
        <f>居民配置!K4</f>
        <v>0.3</v>
      </c>
      <c r="F15" s="4">
        <f>INT(C15*D15*(1+0*E15))</f>
        <v>700</v>
      </c>
    </row>
    <row r="16" spans="1:10" x14ac:dyDescent="0.25">
      <c r="A16" s="5"/>
      <c r="B16" s="11" t="s">
        <v>85</v>
      </c>
      <c r="C16" s="5"/>
      <c r="D16" s="5"/>
      <c r="E16" s="5"/>
      <c r="F16" s="12">
        <f>F13+F14+F15</f>
        <v>3400</v>
      </c>
    </row>
    <row r="17" spans="1:10" x14ac:dyDescent="0.25">
      <c r="A17" s="5" t="s">
        <v>4</v>
      </c>
      <c r="B17" s="5" t="s">
        <v>53</v>
      </c>
      <c r="C17" s="4">
        <f>居民配置!B2</f>
        <v>6000</v>
      </c>
      <c r="D17" s="4">
        <f>居民配置!L2</f>
        <v>0.1</v>
      </c>
      <c r="E17" s="4">
        <f>居民配置!M2</f>
        <v>0.8</v>
      </c>
      <c r="F17" s="4">
        <f>INT(C17*D17*(1+0*E17))</f>
        <v>600</v>
      </c>
    </row>
    <row r="18" spans="1:10" x14ac:dyDescent="0.25">
      <c r="A18" s="5"/>
      <c r="B18" s="5" t="s">
        <v>54</v>
      </c>
      <c r="C18" s="4">
        <f>居民配置!B3</f>
        <v>3000</v>
      </c>
      <c r="D18" s="4">
        <f>居民配置!L3</f>
        <v>0.4</v>
      </c>
      <c r="E18" s="4">
        <f>居民配置!M3</f>
        <v>0.7</v>
      </c>
      <c r="F18" s="4">
        <f>INT(C18*D18*(1+0*E18))</f>
        <v>1200</v>
      </c>
    </row>
    <row r="19" spans="1:10" x14ac:dyDescent="0.25">
      <c r="A19" s="5"/>
      <c r="B19" s="5" t="s">
        <v>55</v>
      </c>
      <c r="C19" s="4">
        <f>居民配置!B4</f>
        <v>1000</v>
      </c>
      <c r="D19" s="4">
        <f>居民配置!L4</f>
        <v>0.7</v>
      </c>
      <c r="E19" s="4">
        <f>居民配置!M4</f>
        <v>0.4</v>
      </c>
      <c r="F19" s="4">
        <f>INT(C19*D19*(1+0*E19))</f>
        <v>700</v>
      </c>
    </row>
    <row r="20" spans="1:10" x14ac:dyDescent="0.25">
      <c r="A20" s="5"/>
      <c r="B20" s="11" t="s">
        <v>86</v>
      </c>
      <c r="C20" s="5"/>
      <c r="D20" s="5"/>
      <c r="E20" s="5"/>
      <c r="F20" s="12">
        <f>F17+F18+F19</f>
        <v>2500</v>
      </c>
    </row>
    <row r="22" spans="1:10" ht="15.6" x14ac:dyDescent="0.25">
      <c r="A22" s="16" t="s">
        <v>87</v>
      </c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" t="s">
        <v>58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</row>
    <row r="24" spans="1:10" x14ac:dyDescent="0.25">
      <c r="A24" s="5" t="s">
        <v>71</v>
      </c>
      <c r="B24" s="5" t="s">
        <v>95</v>
      </c>
      <c r="C24" s="5" t="s">
        <v>33</v>
      </c>
      <c r="D24" s="4">
        <f>配方!E4</f>
        <v>125</v>
      </c>
      <c r="E24" s="4">
        <f>F20</f>
        <v>2500</v>
      </c>
      <c r="F24" s="4">
        <v>1</v>
      </c>
      <c r="G24" s="4">
        <f>E24</f>
        <v>2500</v>
      </c>
      <c r="H24" s="4">
        <f t="shared" ref="H24:H32" si="0">ROUNDUP(G24/D24,0)</f>
        <v>20</v>
      </c>
    </row>
    <row r="25" spans="1:10" x14ac:dyDescent="0.25">
      <c r="A25" s="5"/>
      <c r="B25" s="5" t="s">
        <v>96</v>
      </c>
      <c r="C25" s="5" t="s">
        <v>32</v>
      </c>
      <c r="D25" s="4">
        <f>配方!E3</f>
        <v>1200</v>
      </c>
      <c r="E25" s="4">
        <f>E24</f>
        <v>2500</v>
      </c>
      <c r="F25" s="4">
        <f>配方!C4/配方!E4</f>
        <v>4.8</v>
      </c>
      <c r="G25" s="4">
        <f>ROUNDUP(E25*F25,0)</f>
        <v>12000</v>
      </c>
      <c r="H25" s="4">
        <f t="shared" si="0"/>
        <v>10</v>
      </c>
    </row>
    <row r="26" spans="1:10" x14ac:dyDescent="0.25">
      <c r="A26" s="5"/>
      <c r="B26" s="5" t="s">
        <v>97</v>
      </c>
      <c r="C26" s="5" t="s">
        <v>31</v>
      </c>
      <c r="D26" s="4">
        <f>配方!E2</f>
        <v>4000</v>
      </c>
      <c r="E26" s="4">
        <f>E24</f>
        <v>2500</v>
      </c>
      <c r="F26" s="4">
        <f>(配方!C4/配方!E4)*(配方!C3/配方!E3)</f>
        <v>8</v>
      </c>
      <c r="G26" s="4">
        <f>ROUNDUP(E26*F26,0)</f>
        <v>20000</v>
      </c>
      <c r="H26" s="4">
        <f t="shared" si="0"/>
        <v>5</v>
      </c>
    </row>
    <row r="27" spans="1:10" x14ac:dyDescent="0.25">
      <c r="A27" s="5" t="s">
        <v>72</v>
      </c>
      <c r="B27" s="5" t="s">
        <v>95</v>
      </c>
      <c r="C27" s="5" t="s">
        <v>36</v>
      </c>
      <c r="D27" s="4">
        <f>配方!E7</f>
        <v>200</v>
      </c>
      <c r="E27" s="4">
        <f>F16</f>
        <v>3400</v>
      </c>
      <c r="F27" s="4">
        <v>1</v>
      </c>
      <c r="G27" s="4">
        <f>E27</f>
        <v>3400</v>
      </c>
      <c r="H27" s="4">
        <f t="shared" si="0"/>
        <v>17</v>
      </c>
    </row>
    <row r="28" spans="1:10" x14ac:dyDescent="0.25">
      <c r="A28" s="5"/>
      <c r="B28" s="5" t="s">
        <v>96</v>
      </c>
      <c r="C28" s="5" t="s">
        <v>35</v>
      </c>
      <c r="D28" s="4">
        <f>配方!E6</f>
        <v>340</v>
      </c>
      <c r="E28" s="4">
        <f>E27</f>
        <v>3400</v>
      </c>
      <c r="F28" s="4">
        <f>配方!C7/配方!E7</f>
        <v>1.5</v>
      </c>
      <c r="G28" s="4">
        <f>ROUNDUP(E28*F28,0)</f>
        <v>5100</v>
      </c>
      <c r="H28" s="4">
        <f t="shared" si="0"/>
        <v>15</v>
      </c>
    </row>
    <row r="29" spans="1:10" x14ac:dyDescent="0.25">
      <c r="A29" s="5"/>
      <c r="B29" s="5" t="s">
        <v>97</v>
      </c>
      <c r="C29" s="5" t="s">
        <v>34</v>
      </c>
      <c r="D29" s="4">
        <f>配方!E5</f>
        <v>700</v>
      </c>
      <c r="E29" s="4">
        <f>E27</f>
        <v>3400</v>
      </c>
      <c r="F29" s="4">
        <f>(配方!C7/配方!E7)*(配方!C6/配方!E6)</f>
        <v>2.2058823529411766</v>
      </c>
      <c r="G29" s="4">
        <f>ROUNDUP(E29*F29,0)</f>
        <v>7500</v>
      </c>
      <c r="H29" s="4">
        <f t="shared" si="0"/>
        <v>11</v>
      </c>
    </row>
    <row r="30" spans="1:10" x14ac:dyDescent="0.25">
      <c r="A30" s="5" t="s">
        <v>10</v>
      </c>
      <c r="B30" s="5" t="s">
        <v>95</v>
      </c>
      <c r="C30" s="5" t="s">
        <v>39</v>
      </c>
      <c r="D30" s="4">
        <f>配方!E10</f>
        <v>800</v>
      </c>
      <c r="E30" s="4">
        <f>F12</f>
        <v>11100</v>
      </c>
      <c r="F30" s="4">
        <v>1</v>
      </c>
      <c r="G30" s="4">
        <f>E30</f>
        <v>11100</v>
      </c>
      <c r="H30" s="4">
        <f t="shared" si="0"/>
        <v>14</v>
      </c>
    </row>
    <row r="31" spans="1:10" x14ac:dyDescent="0.25">
      <c r="A31" s="5"/>
      <c r="B31" s="5" t="s">
        <v>96</v>
      </c>
      <c r="C31" s="5" t="s">
        <v>38</v>
      </c>
      <c r="D31" s="4">
        <f>配方!E9</f>
        <v>1000</v>
      </c>
      <c r="E31" s="4">
        <f>E30</f>
        <v>11100</v>
      </c>
      <c r="F31" s="4">
        <f>配方!C10/配方!E10</f>
        <v>1.25</v>
      </c>
      <c r="G31" s="4">
        <f>ROUNDUP(E31*F31,0)</f>
        <v>13875</v>
      </c>
      <c r="H31" s="4">
        <f t="shared" si="0"/>
        <v>14</v>
      </c>
    </row>
    <row r="32" spans="1:10" x14ac:dyDescent="0.25">
      <c r="A32" s="5"/>
      <c r="B32" s="5" t="s">
        <v>97</v>
      </c>
      <c r="C32" s="5" t="s">
        <v>37</v>
      </c>
      <c r="D32" s="4">
        <f>配方!E8</f>
        <v>3000</v>
      </c>
      <c r="E32" s="4">
        <f>E30</f>
        <v>11100</v>
      </c>
      <c r="F32" s="4">
        <f>(配方!C10/配方!E10)*(配方!C9/配方!E9)</f>
        <v>2.5</v>
      </c>
      <c r="G32" s="4">
        <f>ROUNDUP(E32*F32,0)</f>
        <v>27750</v>
      </c>
      <c r="H32" s="4">
        <f t="shared" si="0"/>
        <v>10</v>
      </c>
    </row>
    <row r="33" spans="1:10" x14ac:dyDescent="0.25">
      <c r="H33" s="18">
        <f>SUM(H24:H32)</f>
        <v>116</v>
      </c>
    </row>
    <row r="34" spans="1:10" ht="15.6" x14ac:dyDescent="0.25">
      <c r="A34" s="16" t="s">
        <v>98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x14ac:dyDescent="0.25">
      <c r="A35" s="1" t="s">
        <v>79</v>
      </c>
      <c r="B35" s="1" t="s">
        <v>80</v>
      </c>
      <c r="C35" s="1" t="s">
        <v>41</v>
      </c>
      <c r="D35" s="1" t="s">
        <v>81</v>
      </c>
      <c r="E35" s="1" t="s">
        <v>82</v>
      </c>
      <c r="F35" s="1" t="s">
        <v>83</v>
      </c>
    </row>
    <row r="36" spans="1:10" x14ac:dyDescent="0.25">
      <c r="A36" s="5" t="s">
        <v>10</v>
      </c>
      <c r="B36" s="5" t="s">
        <v>53</v>
      </c>
      <c r="C36" s="4">
        <f>居民配置!B2</f>
        <v>6000</v>
      </c>
      <c r="D36" s="4">
        <f>居民配置!H2</f>
        <v>1</v>
      </c>
      <c r="E36" s="4">
        <f>居民配置!I2</f>
        <v>0.1</v>
      </c>
      <c r="F36" s="4">
        <f>INT(C36*D36*(1+0.7*E36))</f>
        <v>6420</v>
      </c>
    </row>
    <row r="37" spans="1:10" x14ac:dyDescent="0.25">
      <c r="A37" s="5"/>
      <c r="B37" s="5" t="s">
        <v>54</v>
      </c>
      <c r="C37" s="4">
        <f>居民配置!B3</f>
        <v>3000</v>
      </c>
      <c r="D37" s="4">
        <f>居民配置!H3</f>
        <v>1.2</v>
      </c>
      <c r="E37" s="4">
        <f>居民配置!I3</f>
        <v>0.2</v>
      </c>
      <c r="F37" s="4">
        <f>INT(C37*D37*(1+0.7*E37))</f>
        <v>4104</v>
      </c>
    </row>
    <row r="38" spans="1:10" x14ac:dyDescent="0.25">
      <c r="A38" s="5"/>
      <c r="B38" s="5" t="s">
        <v>55</v>
      </c>
      <c r="C38" s="4">
        <f>居民配置!B4</f>
        <v>1000</v>
      </c>
      <c r="D38" s="4">
        <f>居民配置!H4</f>
        <v>1.5</v>
      </c>
      <c r="E38" s="4">
        <f>居民配置!I4</f>
        <v>0.05</v>
      </c>
      <c r="F38" s="4">
        <f>INT(C38*D38*(1+0.7*E38))</f>
        <v>1552</v>
      </c>
    </row>
    <row r="39" spans="1:10" x14ac:dyDescent="0.25">
      <c r="A39" s="5"/>
      <c r="B39" s="11" t="s">
        <v>84</v>
      </c>
      <c r="C39" s="5"/>
      <c r="D39" s="5"/>
      <c r="E39" s="5"/>
      <c r="F39" s="12">
        <f>F36+F37+F38</f>
        <v>12076</v>
      </c>
    </row>
    <row r="40" spans="1:10" x14ac:dyDescent="0.25">
      <c r="A40" s="5" t="s">
        <v>7</v>
      </c>
      <c r="B40" s="5" t="s">
        <v>53</v>
      </c>
      <c r="C40" s="4">
        <f>居民配置!B2</f>
        <v>6000</v>
      </c>
      <c r="D40" s="4">
        <f>居民配置!J2</f>
        <v>0.2</v>
      </c>
      <c r="E40" s="4">
        <f>居民配置!K2</f>
        <v>0.5</v>
      </c>
      <c r="F40" s="4">
        <f>INT(C40*D40*(1+0.7*E40))</f>
        <v>1620</v>
      </c>
    </row>
    <row r="41" spans="1:10" x14ac:dyDescent="0.25">
      <c r="A41" s="5"/>
      <c r="B41" s="5" t="s">
        <v>54</v>
      </c>
      <c r="C41" s="4">
        <f>居民配置!B3</f>
        <v>3000</v>
      </c>
      <c r="D41" s="4">
        <f>居民配置!J3</f>
        <v>0.5</v>
      </c>
      <c r="E41" s="4">
        <f>居民配置!K3</f>
        <v>0.5</v>
      </c>
      <c r="F41" s="4">
        <f>INT(C41*D41*(1+0.7*E41))</f>
        <v>2025</v>
      </c>
    </row>
    <row r="42" spans="1:10" x14ac:dyDescent="0.25">
      <c r="A42" s="5"/>
      <c r="B42" s="5" t="s">
        <v>55</v>
      </c>
      <c r="C42" s="4">
        <f>居民配置!B4</f>
        <v>1000</v>
      </c>
      <c r="D42" s="4">
        <f>居民配置!J4</f>
        <v>0.7</v>
      </c>
      <c r="E42" s="4">
        <f>居民配置!K4</f>
        <v>0.3</v>
      </c>
      <c r="F42" s="4">
        <f>INT(C42*D42*(1+0.7*E42))</f>
        <v>847</v>
      </c>
    </row>
    <row r="43" spans="1:10" x14ac:dyDescent="0.25">
      <c r="A43" s="5"/>
      <c r="B43" s="11" t="s">
        <v>85</v>
      </c>
      <c r="C43" s="5"/>
      <c r="D43" s="5"/>
      <c r="E43" s="5"/>
      <c r="F43" s="12">
        <f>F40+F41+F42</f>
        <v>4492</v>
      </c>
    </row>
    <row r="44" spans="1:10" x14ac:dyDescent="0.25">
      <c r="A44" s="5" t="s">
        <v>4</v>
      </c>
      <c r="B44" s="5" t="s">
        <v>53</v>
      </c>
      <c r="C44" s="4">
        <f>居民配置!B2</f>
        <v>6000</v>
      </c>
      <c r="D44" s="4">
        <f>居民配置!L2</f>
        <v>0.1</v>
      </c>
      <c r="E44" s="4">
        <f>居民配置!M2</f>
        <v>0.8</v>
      </c>
      <c r="F44" s="4">
        <f>INT(C44*D44*(1+0.7*E44))</f>
        <v>936</v>
      </c>
    </row>
    <row r="45" spans="1:10" x14ac:dyDescent="0.25">
      <c r="A45" s="5"/>
      <c r="B45" s="5" t="s">
        <v>54</v>
      </c>
      <c r="C45" s="4">
        <f>居民配置!B3</f>
        <v>3000</v>
      </c>
      <c r="D45" s="4">
        <f>居民配置!L3</f>
        <v>0.4</v>
      </c>
      <c r="E45" s="4">
        <f>居民配置!M3</f>
        <v>0.7</v>
      </c>
      <c r="F45" s="4">
        <f>INT(C45*D45*(1+0.7*E45))</f>
        <v>1788</v>
      </c>
    </row>
    <row r="46" spans="1:10" x14ac:dyDescent="0.25">
      <c r="A46" s="5"/>
      <c r="B46" s="5" t="s">
        <v>55</v>
      </c>
      <c r="C46" s="4">
        <f>居民配置!B4</f>
        <v>1000</v>
      </c>
      <c r="D46" s="4">
        <f>居民配置!L4</f>
        <v>0.7</v>
      </c>
      <c r="E46" s="4">
        <f>居民配置!M4</f>
        <v>0.4</v>
      </c>
      <c r="F46" s="4">
        <f>INT(C46*D46*(1+0.7*E46))</f>
        <v>896</v>
      </c>
    </row>
    <row r="47" spans="1:10" x14ac:dyDescent="0.25">
      <c r="A47" s="5"/>
      <c r="B47" s="11" t="s">
        <v>86</v>
      </c>
      <c r="C47" s="5"/>
      <c r="D47" s="5"/>
      <c r="E47" s="5"/>
      <c r="F47" s="12">
        <f>F44+F45+F46</f>
        <v>3620</v>
      </c>
    </row>
    <row r="49" spans="1:10" ht="15.6" x14ac:dyDescent="0.25">
      <c r="A49" s="16" t="s">
        <v>99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x14ac:dyDescent="0.25">
      <c r="A50" s="1" t="s">
        <v>58</v>
      </c>
      <c r="B50" s="1" t="s">
        <v>88</v>
      </c>
      <c r="C50" s="1" t="s">
        <v>89</v>
      </c>
      <c r="D50" s="1" t="s">
        <v>90</v>
      </c>
      <c r="E50" s="1" t="s">
        <v>91</v>
      </c>
      <c r="F50" s="1" t="s">
        <v>92</v>
      </c>
      <c r="G50" s="1" t="s">
        <v>93</v>
      </c>
      <c r="H50" s="1" t="s">
        <v>94</v>
      </c>
    </row>
    <row r="51" spans="1:10" x14ac:dyDescent="0.25">
      <c r="A51" s="5" t="s">
        <v>71</v>
      </c>
      <c r="B51" s="5" t="s">
        <v>95</v>
      </c>
      <c r="C51" s="5" t="s">
        <v>33</v>
      </c>
      <c r="D51" s="4">
        <f>配方!E4</f>
        <v>125</v>
      </c>
      <c r="E51" s="4">
        <f>F47</f>
        <v>3620</v>
      </c>
      <c r="F51" s="4">
        <v>1</v>
      </c>
      <c r="G51" s="4">
        <f>E51</f>
        <v>3620</v>
      </c>
      <c r="H51" s="4">
        <f t="shared" ref="H51:H59" si="1">ROUNDUP(G51/D51,0)</f>
        <v>29</v>
      </c>
    </row>
    <row r="52" spans="1:10" x14ac:dyDescent="0.25">
      <c r="A52" s="5"/>
      <c r="B52" s="5" t="s">
        <v>96</v>
      </c>
      <c r="C52" s="5" t="s">
        <v>32</v>
      </c>
      <c r="D52" s="4">
        <f>配方!E3</f>
        <v>1200</v>
      </c>
      <c r="E52" s="4">
        <f>E51</f>
        <v>3620</v>
      </c>
      <c r="F52" s="4">
        <f>配方!C4/配方!E4</f>
        <v>4.8</v>
      </c>
      <c r="G52" s="4">
        <f>ROUNDUP(E52*F52,0)</f>
        <v>17376</v>
      </c>
      <c r="H52" s="4">
        <f t="shared" si="1"/>
        <v>15</v>
      </c>
    </row>
    <row r="53" spans="1:10" x14ac:dyDescent="0.25">
      <c r="A53" s="5"/>
      <c r="B53" s="5" t="s">
        <v>97</v>
      </c>
      <c r="C53" s="5" t="s">
        <v>31</v>
      </c>
      <c r="D53" s="4">
        <f>配方!E2</f>
        <v>4000</v>
      </c>
      <c r="E53" s="4">
        <f>E51</f>
        <v>3620</v>
      </c>
      <c r="F53" s="4">
        <f>(配方!C4/配方!E4)*(配方!C3/配方!E3)</f>
        <v>8</v>
      </c>
      <c r="G53" s="4">
        <f>ROUNDUP(E53*F53,0)</f>
        <v>28960</v>
      </c>
      <c r="H53" s="4">
        <f t="shared" si="1"/>
        <v>8</v>
      </c>
    </row>
    <row r="54" spans="1:10" x14ac:dyDescent="0.25">
      <c r="A54" s="5" t="s">
        <v>72</v>
      </c>
      <c r="B54" s="5" t="s">
        <v>95</v>
      </c>
      <c r="C54" s="5" t="s">
        <v>36</v>
      </c>
      <c r="D54" s="4">
        <f>配方!E7</f>
        <v>200</v>
      </c>
      <c r="E54" s="4">
        <f>F43</f>
        <v>4492</v>
      </c>
      <c r="F54" s="4">
        <v>1</v>
      </c>
      <c r="G54" s="4">
        <f>E54</f>
        <v>4492</v>
      </c>
      <c r="H54" s="4">
        <f t="shared" si="1"/>
        <v>23</v>
      </c>
    </row>
    <row r="55" spans="1:10" x14ac:dyDescent="0.25">
      <c r="A55" s="5"/>
      <c r="B55" s="5" t="s">
        <v>96</v>
      </c>
      <c r="C55" s="5" t="s">
        <v>35</v>
      </c>
      <c r="D55" s="4">
        <f>配方!E6</f>
        <v>340</v>
      </c>
      <c r="E55" s="4">
        <f>E54</f>
        <v>4492</v>
      </c>
      <c r="F55" s="4">
        <f>配方!C7/配方!E7</f>
        <v>1.5</v>
      </c>
      <c r="G55" s="4">
        <f>ROUNDUP(E55*F55,0)</f>
        <v>6738</v>
      </c>
      <c r="H55" s="4">
        <f t="shared" si="1"/>
        <v>20</v>
      </c>
    </row>
    <row r="56" spans="1:10" x14ac:dyDescent="0.25">
      <c r="A56" s="5"/>
      <c r="B56" s="5" t="s">
        <v>97</v>
      </c>
      <c r="C56" s="5" t="s">
        <v>34</v>
      </c>
      <c r="D56" s="4">
        <f>配方!E5</f>
        <v>700</v>
      </c>
      <c r="E56" s="4">
        <f>E54</f>
        <v>4492</v>
      </c>
      <c r="F56" s="4">
        <f>(配方!C7/配方!E7)*(配方!C6/配方!E6)</f>
        <v>2.2058823529411766</v>
      </c>
      <c r="G56" s="4">
        <f>ROUNDUP(E56*F56,0)</f>
        <v>9909</v>
      </c>
      <c r="H56" s="4">
        <f t="shared" si="1"/>
        <v>15</v>
      </c>
    </row>
    <row r="57" spans="1:10" x14ac:dyDescent="0.25">
      <c r="A57" s="5" t="s">
        <v>10</v>
      </c>
      <c r="B57" s="5" t="s">
        <v>95</v>
      </c>
      <c r="C57" s="5" t="s">
        <v>39</v>
      </c>
      <c r="D57" s="4">
        <f>配方!E10</f>
        <v>800</v>
      </c>
      <c r="E57" s="4">
        <f>F39</f>
        <v>12076</v>
      </c>
      <c r="F57" s="4">
        <v>1</v>
      </c>
      <c r="G57" s="4">
        <f>E57</f>
        <v>12076</v>
      </c>
      <c r="H57" s="4">
        <f t="shared" si="1"/>
        <v>16</v>
      </c>
    </row>
    <row r="58" spans="1:10" x14ac:dyDescent="0.25">
      <c r="A58" s="5"/>
      <c r="B58" s="5" t="s">
        <v>96</v>
      </c>
      <c r="C58" s="5" t="s">
        <v>38</v>
      </c>
      <c r="D58" s="4">
        <f>配方!E9</f>
        <v>1000</v>
      </c>
      <c r="E58" s="4">
        <f>E57</f>
        <v>12076</v>
      </c>
      <c r="F58" s="4">
        <f>配方!C10/配方!E10</f>
        <v>1.25</v>
      </c>
      <c r="G58" s="4">
        <f>ROUNDUP(E58*F58,0)</f>
        <v>15095</v>
      </c>
      <c r="H58" s="4">
        <f t="shared" si="1"/>
        <v>16</v>
      </c>
    </row>
    <row r="59" spans="1:10" x14ac:dyDescent="0.25">
      <c r="A59" s="5"/>
      <c r="B59" s="5" t="s">
        <v>97</v>
      </c>
      <c r="C59" s="5" t="s">
        <v>37</v>
      </c>
      <c r="D59" s="4">
        <f>配方!E8</f>
        <v>3000</v>
      </c>
      <c r="E59" s="4">
        <f>E57</f>
        <v>12076</v>
      </c>
      <c r="F59" s="4">
        <f>(配方!C10/配方!E10)*(配方!C9/配方!E9)</f>
        <v>2.5</v>
      </c>
      <c r="G59" s="4">
        <f>ROUNDUP(E59*F59,0)</f>
        <v>30190</v>
      </c>
      <c r="H59" s="4">
        <f t="shared" si="1"/>
        <v>11</v>
      </c>
    </row>
    <row r="61" spans="1:10" ht="15.6" x14ac:dyDescent="0.25">
      <c r="A61" s="16" t="s">
        <v>100</v>
      </c>
      <c r="B61" s="17"/>
      <c r="C61" s="17"/>
      <c r="D61" s="17"/>
      <c r="E61" s="17"/>
      <c r="F61" s="17"/>
      <c r="G61" s="17"/>
      <c r="H61" s="17"/>
      <c r="I61" s="17"/>
      <c r="J61" s="17"/>
    </row>
    <row r="62" spans="1:10" x14ac:dyDescent="0.25">
      <c r="A62" s="1" t="s">
        <v>79</v>
      </c>
      <c r="B62" s="1" t="s">
        <v>80</v>
      </c>
      <c r="C62" s="1" t="s">
        <v>41</v>
      </c>
      <c r="D62" s="1" t="s">
        <v>81</v>
      </c>
      <c r="E62" s="1" t="s">
        <v>82</v>
      </c>
      <c r="F62" s="1" t="s">
        <v>83</v>
      </c>
    </row>
    <row r="63" spans="1:10" x14ac:dyDescent="0.25">
      <c r="A63" s="5" t="s">
        <v>10</v>
      </c>
      <c r="B63" s="5" t="s">
        <v>53</v>
      </c>
      <c r="C63" s="4">
        <f>居民配置!B2</f>
        <v>6000</v>
      </c>
      <c r="D63" s="4">
        <f>居民配置!H2</f>
        <v>1</v>
      </c>
      <c r="E63" s="4">
        <f>居民配置!I2</f>
        <v>0.1</v>
      </c>
      <c r="F63" s="4">
        <f>INT(C63*D63*(1+-0.7*E63))</f>
        <v>5580</v>
      </c>
    </row>
    <row r="64" spans="1:10" x14ac:dyDescent="0.25">
      <c r="A64" s="5"/>
      <c r="B64" s="5" t="s">
        <v>54</v>
      </c>
      <c r="C64" s="4">
        <f>居民配置!B3</f>
        <v>3000</v>
      </c>
      <c r="D64" s="4">
        <f>居民配置!H3</f>
        <v>1.2</v>
      </c>
      <c r="E64" s="4">
        <f>居民配置!I3</f>
        <v>0.2</v>
      </c>
      <c r="F64" s="4">
        <f>INT(C64*D64*(1+-0.7*E64))</f>
        <v>3096</v>
      </c>
    </row>
    <row r="65" spans="1:10" x14ac:dyDescent="0.25">
      <c r="A65" s="5"/>
      <c r="B65" s="5" t="s">
        <v>55</v>
      </c>
      <c r="C65" s="4">
        <f>居民配置!B4</f>
        <v>1000</v>
      </c>
      <c r="D65" s="4">
        <f>居民配置!H4</f>
        <v>1.5</v>
      </c>
      <c r="E65" s="4">
        <f>居民配置!I4</f>
        <v>0.05</v>
      </c>
      <c r="F65" s="4">
        <f>INT(C65*D65*(1+-0.7*E65))</f>
        <v>1447</v>
      </c>
    </row>
    <row r="66" spans="1:10" x14ac:dyDescent="0.25">
      <c r="A66" s="5"/>
      <c r="B66" s="11" t="s">
        <v>84</v>
      </c>
      <c r="C66" s="5"/>
      <c r="D66" s="5"/>
      <c r="E66" s="5"/>
      <c r="F66" s="12">
        <f>F63+F64+F65</f>
        <v>10123</v>
      </c>
    </row>
    <row r="67" spans="1:10" x14ac:dyDescent="0.25">
      <c r="A67" s="5" t="s">
        <v>7</v>
      </c>
      <c r="B67" s="5" t="s">
        <v>53</v>
      </c>
      <c r="C67" s="4">
        <f>居民配置!B2</f>
        <v>6000</v>
      </c>
      <c r="D67" s="4">
        <f>居民配置!J2</f>
        <v>0.2</v>
      </c>
      <c r="E67" s="4">
        <f>居民配置!K2</f>
        <v>0.5</v>
      </c>
      <c r="F67" s="4">
        <f>INT(C67*D67*(1+-0.7*E67))</f>
        <v>780</v>
      </c>
    </row>
    <row r="68" spans="1:10" x14ac:dyDescent="0.25">
      <c r="A68" s="5"/>
      <c r="B68" s="5" t="s">
        <v>54</v>
      </c>
      <c r="C68" s="4">
        <f>居民配置!B3</f>
        <v>3000</v>
      </c>
      <c r="D68" s="4">
        <f>居民配置!J3</f>
        <v>0.5</v>
      </c>
      <c r="E68" s="4">
        <f>居民配置!K3</f>
        <v>0.5</v>
      </c>
      <c r="F68" s="4">
        <f>INT(C68*D68*(1+-0.7*E68))</f>
        <v>975</v>
      </c>
    </row>
    <row r="69" spans="1:10" x14ac:dyDescent="0.25">
      <c r="A69" s="5"/>
      <c r="B69" s="5" t="s">
        <v>55</v>
      </c>
      <c r="C69" s="4">
        <f>居民配置!B4</f>
        <v>1000</v>
      </c>
      <c r="D69" s="4">
        <f>居民配置!J4</f>
        <v>0.7</v>
      </c>
      <c r="E69" s="4">
        <f>居民配置!K4</f>
        <v>0.3</v>
      </c>
      <c r="F69" s="4">
        <f>INT(C69*D69*(1+-0.7*E69))</f>
        <v>553</v>
      </c>
    </row>
    <row r="70" spans="1:10" x14ac:dyDescent="0.25">
      <c r="A70" s="5"/>
      <c r="B70" s="11" t="s">
        <v>85</v>
      </c>
      <c r="C70" s="5"/>
      <c r="D70" s="5"/>
      <c r="E70" s="5"/>
      <c r="F70" s="12">
        <f>F67+F68+F69</f>
        <v>2308</v>
      </c>
    </row>
    <row r="71" spans="1:10" x14ac:dyDescent="0.25">
      <c r="A71" s="5" t="s">
        <v>4</v>
      </c>
      <c r="B71" s="5" t="s">
        <v>53</v>
      </c>
      <c r="C71" s="4">
        <f>居民配置!B2</f>
        <v>6000</v>
      </c>
      <c r="D71" s="4">
        <f>居民配置!L2</f>
        <v>0.1</v>
      </c>
      <c r="E71" s="4">
        <f>居民配置!M2</f>
        <v>0.8</v>
      </c>
      <c r="F71" s="4">
        <f>INT(C71*D71*(1+-0.7*E71))</f>
        <v>264</v>
      </c>
    </row>
    <row r="72" spans="1:10" x14ac:dyDescent="0.25">
      <c r="A72" s="5"/>
      <c r="B72" s="5" t="s">
        <v>54</v>
      </c>
      <c r="C72" s="4">
        <f>居民配置!B3</f>
        <v>3000</v>
      </c>
      <c r="D72" s="4">
        <f>居民配置!L3</f>
        <v>0.4</v>
      </c>
      <c r="E72" s="4">
        <f>居民配置!M3</f>
        <v>0.7</v>
      </c>
      <c r="F72" s="4">
        <f>INT(C72*D72*(1+-0.7*E72))</f>
        <v>612</v>
      </c>
    </row>
    <row r="73" spans="1:10" x14ac:dyDescent="0.25">
      <c r="A73" s="5"/>
      <c r="B73" s="5" t="s">
        <v>55</v>
      </c>
      <c r="C73" s="4">
        <f>居民配置!B4</f>
        <v>1000</v>
      </c>
      <c r="D73" s="4">
        <f>居民配置!L4</f>
        <v>0.7</v>
      </c>
      <c r="E73" s="4">
        <f>居民配置!M4</f>
        <v>0.4</v>
      </c>
      <c r="F73" s="4">
        <f>INT(C73*D73*(1+-0.7*E73))</f>
        <v>504</v>
      </c>
    </row>
    <row r="74" spans="1:10" x14ac:dyDescent="0.25">
      <c r="A74" s="5"/>
      <c r="B74" s="11" t="s">
        <v>86</v>
      </c>
      <c r="C74" s="5"/>
      <c r="D74" s="5"/>
      <c r="E74" s="5"/>
      <c r="F74" s="12">
        <f>F71+F72+F73</f>
        <v>1380</v>
      </c>
    </row>
    <row r="76" spans="1:10" ht="15.6" x14ac:dyDescent="0.25">
      <c r="A76" s="16" t="s">
        <v>101</v>
      </c>
      <c r="B76" s="17"/>
      <c r="C76" s="17"/>
      <c r="D76" s="17"/>
      <c r="E76" s="17"/>
      <c r="F76" s="17"/>
      <c r="G76" s="17"/>
      <c r="H76" s="17"/>
      <c r="I76" s="17"/>
      <c r="J76" s="17"/>
    </row>
    <row r="77" spans="1:10" x14ac:dyDescent="0.25">
      <c r="A77" s="1" t="s">
        <v>58</v>
      </c>
      <c r="B77" s="1" t="s">
        <v>88</v>
      </c>
      <c r="C77" s="1" t="s">
        <v>89</v>
      </c>
      <c r="D77" s="1" t="s">
        <v>90</v>
      </c>
      <c r="E77" s="1" t="s">
        <v>91</v>
      </c>
      <c r="F77" s="1" t="s">
        <v>92</v>
      </c>
      <c r="G77" s="1" t="s">
        <v>93</v>
      </c>
      <c r="H77" s="1" t="s">
        <v>94</v>
      </c>
    </row>
    <row r="78" spans="1:10" x14ac:dyDescent="0.25">
      <c r="A78" s="5" t="s">
        <v>71</v>
      </c>
      <c r="B78" s="5" t="s">
        <v>95</v>
      </c>
      <c r="C78" s="5" t="s">
        <v>33</v>
      </c>
      <c r="D78" s="4">
        <f>配方!E4</f>
        <v>125</v>
      </c>
      <c r="E78" s="4">
        <f>F74</f>
        <v>1380</v>
      </c>
      <c r="F78" s="4">
        <v>1</v>
      </c>
      <c r="G78" s="4">
        <f>E78</f>
        <v>1380</v>
      </c>
      <c r="H78" s="4">
        <f t="shared" ref="H78:H86" si="2">ROUNDUP(G78/D78,0)</f>
        <v>12</v>
      </c>
    </row>
    <row r="79" spans="1:10" x14ac:dyDescent="0.25">
      <c r="A79" s="5"/>
      <c r="B79" s="5" t="s">
        <v>96</v>
      </c>
      <c r="C79" s="5" t="s">
        <v>32</v>
      </c>
      <c r="D79" s="4">
        <f>配方!E3</f>
        <v>1200</v>
      </c>
      <c r="E79" s="4">
        <f>E78</f>
        <v>1380</v>
      </c>
      <c r="F79" s="4">
        <f>配方!C4/配方!E4</f>
        <v>4.8</v>
      </c>
      <c r="G79" s="4">
        <f>ROUNDUP(E79*F79,0)</f>
        <v>6624</v>
      </c>
      <c r="H79" s="4">
        <f t="shared" si="2"/>
        <v>6</v>
      </c>
    </row>
    <row r="80" spans="1:10" x14ac:dyDescent="0.25">
      <c r="A80" s="5"/>
      <c r="B80" s="5" t="s">
        <v>97</v>
      </c>
      <c r="C80" s="5" t="s">
        <v>31</v>
      </c>
      <c r="D80" s="4">
        <f>配方!E2</f>
        <v>4000</v>
      </c>
      <c r="E80" s="4">
        <f>E78</f>
        <v>1380</v>
      </c>
      <c r="F80" s="4">
        <f>(配方!C4/配方!E4)*(配方!C3/配方!E3)</f>
        <v>8</v>
      </c>
      <c r="G80" s="4">
        <f>ROUNDUP(E80*F80,0)</f>
        <v>11040</v>
      </c>
      <c r="H80" s="4">
        <f t="shared" si="2"/>
        <v>3</v>
      </c>
    </row>
    <row r="81" spans="1:8" x14ac:dyDescent="0.25">
      <c r="A81" s="5" t="s">
        <v>72</v>
      </c>
      <c r="B81" s="5" t="s">
        <v>95</v>
      </c>
      <c r="C81" s="5" t="s">
        <v>36</v>
      </c>
      <c r="D81" s="4">
        <f>配方!E7</f>
        <v>200</v>
      </c>
      <c r="E81" s="4">
        <f>F70</f>
        <v>2308</v>
      </c>
      <c r="F81" s="4">
        <v>1</v>
      </c>
      <c r="G81" s="4">
        <f>E81</f>
        <v>2308</v>
      </c>
      <c r="H81" s="4">
        <f t="shared" si="2"/>
        <v>12</v>
      </c>
    </row>
    <row r="82" spans="1:8" x14ac:dyDescent="0.25">
      <c r="A82" s="5"/>
      <c r="B82" s="5" t="s">
        <v>96</v>
      </c>
      <c r="C82" s="5" t="s">
        <v>35</v>
      </c>
      <c r="D82" s="4">
        <f>配方!E6</f>
        <v>340</v>
      </c>
      <c r="E82" s="4">
        <f>E81</f>
        <v>2308</v>
      </c>
      <c r="F82" s="4">
        <f>配方!C7/配方!E7</f>
        <v>1.5</v>
      </c>
      <c r="G82" s="4">
        <f>ROUNDUP(E82*F82,0)</f>
        <v>3462</v>
      </c>
      <c r="H82" s="4">
        <f t="shared" si="2"/>
        <v>11</v>
      </c>
    </row>
    <row r="83" spans="1:8" x14ac:dyDescent="0.25">
      <c r="A83" s="5"/>
      <c r="B83" s="5" t="s">
        <v>97</v>
      </c>
      <c r="C83" s="5" t="s">
        <v>34</v>
      </c>
      <c r="D83" s="4">
        <f>配方!E5</f>
        <v>700</v>
      </c>
      <c r="E83" s="4">
        <f>E81</f>
        <v>2308</v>
      </c>
      <c r="F83" s="4">
        <f>(配方!C7/配方!E7)*(配方!C6/配方!E6)</f>
        <v>2.2058823529411766</v>
      </c>
      <c r="G83" s="4">
        <f>ROUNDUP(E83*F83,0)</f>
        <v>5092</v>
      </c>
      <c r="H83" s="4">
        <f t="shared" si="2"/>
        <v>8</v>
      </c>
    </row>
    <row r="84" spans="1:8" x14ac:dyDescent="0.25">
      <c r="A84" s="5" t="s">
        <v>10</v>
      </c>
      <c r="B84" s="5" t="s">
        <v>95</v>
      </c>
      <c r="C84" s="5" t="s">
        <v>39</v>
      </c>
      <c r="D84" s="4">
        <f>配方!E10</f>
        <v>800</v>
      </c>
      <c r="E84" s="4">
        <f>F66</f>
        <v>10123</v>
      </c>
      <c r="F84" s="4">
        <v>1</v>
      </c>
      <c r="G84" s="4">
        <f>E84</f>
        <v>10123</v>
      </c>
      <c r="H84" s="4">
        <f t="shared" si="2"/>
        <v>13</v>
      </c>
    </row>
    <row r="85" spans="1:8" x14ac:dyDescent="0.25">
      <c r="A85" s="5"/>
      <c r="B85" s="5" t="s">
        <v>96</v>
      </c>
      <c r="C85" s="5" t="s">
        <v>38</v>
      </c>
      <c r="D85" s="4">
        <f>配方!E9</f>
        <v>1000</v>
      </c>
      <c r="E85" s="4">
        <f>E84</f>
        <v>10123</v>
      </c>
      <c r="F85" s="4">
        <f>配方!C10/配方!E10</f>
        <v>1.25</v>
      </c>
      <c r="G85" s="4">
        <f>ROUNDUP(E85*F85,0)</f>
        <v>12654</v>
      </c>
      <c r="H85" s="4">
        <f t="shared" si="2"/>
        <v>13</v>
      </c>
    </row>
    <row r="86" spans="1:8" x14ac:dyDescent="0.25">
      <c r="A86" s="5"/>
      <c r="B86" s="5" t="s">
        <v>97</v>
      </c>
      <c r="C86" s="5" t="s">
        <v>37</v>
      </c>
      <c r="D86" s="4">
        <f>配方!E8</f>
        <v>3000</v>
      </c>
      <c r="E86" s="4">
        <f>E84</f>
        <v>10123</v>
      </c>
      <c r="F86" s="4">
        <f>(配方!C10/配方!E10)*(配方!C9/配方!E9)</f>
        <v>2.5</v>
      </c>
      <c r="G86" s="4">
        <f>ROUNDUP(E86*F86,0)</f>
        <v>25308</v>
      </c>
      <c r="H86" s="4">
        <f t="shared" si="2"/>
        <v>9</v>
      </c>
    </row>
  </sheetData>
  <mergeCells count="6">
    <mergeCell ref="A61:J61"/>
    <mergeCell ref="A22:J22"/>
    <mergeCell ref="A34:J34"/>
    <mergeCell ref="A7:J7"/>
    <mergeCell ref="A76:J76"/>
    <mergeCell ref="A49:J49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workbookViewId="0">
      <selection activeCell="D3" sqref="D3"/>
    </sheetView>
  </sheetViews>
  <sheetFormatPr defaultRowHeight="14.4" x14ac:dyDescent="0.25"/>
  <cols>
    <col min="1" max="1" width="27" customWidth="1"/>
    <col min="2" max="2" width="19" customWidth="1"/>
    <col min="3" max="3" width="12" customWidth="1"/>
    <col min="4" max="4" width="17" customWidth="1"/>
    <col min="5" max="5" width="50" customWidth="1"/>
  </cols>
  <sheetData>
    <row r="1" spans="1:5" ht="15.6" x14ac:dyDescent="0.25">
      <c r="A1" s="16" t="s">
        <v>102</v>
      </c>
      <c r="B1" s="17"/>
      <c r="C1" s="17"/>
      <c r="D1" s="17"/>
      <c r="E1" s="17"/>
    </row>
    <row r="2" spans="1:5" x14ac:dyDescent="0.25">
      <c r="A2" s="1" t="s">
        <v>103</v>
      </c>
      <c r="B2" s="1" t="s">
        <v>0</v>
      </c>
      <c r="C2" s="1" t="s">
        <v>104</v>
      </c>
      <c r="D2" s="1" t="s">
        <v>105</v>
      </c>
      <c r="E2" s="1" t="s">
        <v>106</v>
      </c>
    </row>
    <row r="3" spans="1:5" x14ac:dyDescent="0.25">
      <c r="A3" s="5" t="s">
        <v>107</v>
      </c>
      <c r="B3" s="5" t="s">
        <v>31</v>
      </c>
      <c r="C3" s="5">
        <v>2</v>
      </c>
      <c r="D3" s="5">
        <v>100000</v>
      </c>
      <c r="E3" s="4">
        <f t="shared" ref="E3:E11" si="0">C3*D3</f>
        <v>200000</v>
      </c>
    </row>
    <row r="4" spans="1:5" x14ac:dyDescent="0.25">
      <c r="A4" s="5" t="s">
        <v>107</v>
      </c>
      <c r="B4" s="5" t="s">
        <v>32</v>
      </c>
      <c r="C4" s="5">
        <v>2</v>
      </c>
      <c r="D4" s="5">
        <v>200000</v>
      </c>
      <c r="E4" s="4">
        <f t="shared" si="0"/>
        <v>400000</v>
      </c>
    </row>
    <row r="5" spans="1:5" x14ac:dyDescent="0.25">
      <c r="A5" s="5" t="s">
        <v>107</v>
      </c>
      <c r="B5" s="5" t="s">
        <v>33</v>
      </c>
      <c r="C5" s="5">
        <v>2</v>
      </c>
      <c r="D5" s="5">
        <v>150000</v>
      </c>
      <c r="E5" s="4">
        <f t="shared" si="0"/>
        <v>300000</v>
      </c>
    </row>
    <row r="6" spans="1:5" x14ac:dyDescent="0.25">
      <c r="A6" s="5" t="s">
        <v>107</v>
      </c>
      <c r="B6" s="5" t="s">
        <v>34</v>
      </c>
      <c r="C6" s="5">
        <v>2</v>
      </c>
      <c r="D6" s="5">
        <v>80000</v>
      </c>
      <c r="E6" s="4">
        <f t="shared" si="0"/>
        <v>160000</v>
      </c>
    </row>
    <row r="7" spans="1:5" x14ac:dyDescent="0.25">
      <c r="A7" s="5" t="s">
        <v>107</v>
      </c>
      <c r="B7" s="5" t="s">
        <v>35</v>
      </c>
      <c r="C7" s="5">
        <v>2</v>
      </c>
      <c r="D7" s="5">
        <v>120000</v>
      </c>
      <c r="E7" s="4">
        <f t="shared" si="0"/>
        <v>240000</v>
      </c>
    </row>
    <row r="8" spans="1:5" x14ac:dyDescent="0.25">
      <c r="A8" s="5" t="s">
        <v>107</v>
      </c>
      <c r="B8" s="5" t="s">
        <v>36</v>
      </c>
      <c r="C8" s="5">
        <v>2</v>
      </c>
      <c r="D8" s="5">
        <v>100000</v>
      </c>
      <c r="E8" s="4">
        <f t="shared" si="0"/>
        <v>200000</v>
      </c>
    </row>
    <row r="9" spans="1:5" x14ac:dyDescent="0.25">
      <c r="A9" s="5" t="s">
        <v>107</v>
      </c>
      <c r="B9" s="5" t="s">
        <v>37</v>
      </c>
      <c r="C9" s="5">
        <v>3</v>
      </c>
      <c r="D9" s="5">
        <v>60000</v>
      </c>
      <c r="E9" s="4">
        <f t="shared" si="0"/>
        <v>180000</v>
      </c>
    </row>
    <row r="10" spans="1:5" x14ac:dyDescent="0.25">
      <c r="A10" s="5" t="s">
        <v>107</v>
      </c>
      <c r="B10" s="5" t="s">
        <v>38</v>
      </c>
      <c r="C10" s="5">
        <v>2</v>
      </c>
      <c r="D10" s="5">
        <v>80000</v>
      </c>
      <c r="E10" s="4">
        <f t="shared" si="0"/>
        <v>160000</v>
      </c>
    </row>
    <row r="11" spans="1:5" x14ac:dyDescent="0.25">
      <c r="A11" s="5" t="s">
        <v>107</v>
      </c>
      <c r="B11" s="5" t="s">
        <v>39</v>
      </c>
      <c r="C11" s="5">
        <v>2</v>
      </c>
      <c r="D11" s="5">
        <v>90000</v>
      </c>
      <c r="E11" s="4">
        <f t="shared" si="0"/>
        <v>180000</v>
      </c>
    </row>
    <row r="12" spans="1:5" x14ac:dyDescent="0.25">
      <c r="A12" s="5"/>
      <c r="B12" s="11" t="s">
        <v>108</v>
      </c>
      <c r="C12" s="5"/>
      <c r="D12" s="5"/>
      <c r="E12" s="12">
        <f>SUM(E3:E11)</f>
        <v>2020000</v>
      </c>
    </row>
    <row r="13" spans="1:5" x14ac:dyDescent="0.25">
      <c r="A13" s="5" t="s">
        <v>109</v>
      </c>
      <c r="B13" s="5" t="s">
        <v>110</v>
      </c>
      <c r="C13" s="5">
        <v>1</v>
      </c>
      <c r="D13" s="5">
        <v>2000000</v>
      </c>
      <c r="E13" s="4">
        <f>C13*D13</f>
        <v>2000000</v>
      </c>
    </row>
    <row r="14" spans="1:5" x14ac:dyDescent="0.25">
      <c r="A14" s="5" t="s">
        <v>109</v>
      </c>
      <c r="B14" s="5" t="s">
        <v>111</v>
      </c>
      <c r="C14" s="5">
        <v>1</v>
      </c>
      <c r="D14" s="5">
        <v>2000000</v>
      </c>
      <c r="E14" s="4">
        <f>C14*D14</f>
        <v>2000000</v>
      </c>
    </row>
    <row r="15" spans="1:5" x14ac:dyDescent="0.25">
      <c r="A15" s="5"/>
      <c r="B15" s="11" t="s">
        <v>112</v>
      </c>
      <c r="C15" s="5"/>
      <c r="D15" s="5"/>
      <c r="E15" s="12">
        <f>SUM(E13:E14)</f>
        <v>4000000</v>
      </c>
    </row>
    <row r="16" spans="1:5" x14ac:dyDescent="0.25">
      <c r="A16" s="5" t="s">
        <v>113</v>
      </c>
      <c r="B16" s="5" t="s">
        <v>114</v>
      </c>
      <c r="C16" s="5">
        <v>3</v>
      </c>
      <c r="D16" s="5">
        <v>500000</v>
      </c>
      <c r="E16" s="4">
        <f>C16*D16</f>
        <v>1500000</v>
      </c>
    </row>
    <row r="18" spans="1:5" ht="15.6" x14ac:dyDescent="0.25">
      <c r="A18" s="5"/>
      <c r="B18" s="13" t="s">
        <v>115</v>
      </c>
      <c r="C18" s="5"/>
      <c r="D18" s="5"/>
      <c r="E18" s="14">
        <f>E12+E15+E16</f>
        <v>7520000</v>
      </c>
    </row>
    <row r="20" spans="1:5" ht="15.6" x14ac:dyDescent="0.25">
      <c r="A20" s="16" t="s">
        <v>116</v>
      </c>
      <c r="B20" s="17"/>
      <c r="C20" s="17"/>
      <c r="D20" s="17"/>
      <c r="E20" s="17"/>
    </row>
    <row r="21" spans="1:5" x14ac:dyDescent="0.25">
      <c r="A21" s="1" t="s">
        <v>117</v>
      </c>
      <c r="B21" s="1" t="s">
        <v>118</v>
      </c>
      <c r="C21" s="1" t="s">
        <v>119</v>
      </c>
    </row>
    <row r="22" spans="1:5" x14ac:dyDescent="0.25">
      <c r="A22" s="5" t="s">
        <v>107</v>
      </c>
      <c r="B22" s="15">
        <f>E12</f>
        <v>2020000</v>
      </c>
      <c r="C22" s="8">
        <f>E12/E18</f>
        <v>0.26861702127659576</v>
      </c>
    </row>
    <row r="23" spans="1:5" x14ac:dyDescent="0.25">
      <c r="A23" s="5" t="s">
        <v>109</v>
      </c>
      <c r="B23" s="15">
        <f>E15</f>
        <v>4000000</v>
      </c>
      <c r="C23" s="8">
        <f>E15/E18</f>
        <v>0.53191489361702127</v>
      </c>
    </row>
    <row r="24" spans="1:5" x14ac:dyDescent="0.25">
      <c r="A24" s="5" t="s">
        <v>113</v>
      </c>
      <c r="B24" s="15">
        <f>E16</f>
        <v>1500000</v>
      </c>
      <c r="C24" s="8">
        <f>E16/E18</f>
        <v>0.19946808510638298</v>
      </c>
    </row>
    <row r="26" spans="1:5" ht="15.6" x14ac:dyDescent="0.25">
      <c r="A26" s="16" t="s">
        <v>120</v>
      </c>
      <c r="B26" s="17"/>
      <c r="C26" s="17"/>
      <c r="D26" s="17"/>
      <c r="E26" s="17"/>
    </row>
    <row r="27" spans="1:5" x14ac:dyDescent="0.25">
      <c r="A27" s="1" t="s">
        <v>89</v>
      </c>
      <c r="B27" s="1" t="s">
        <v>28</v>
      </c>
      <c r="C27" s="1" t="s">
        <v>121</v>
      </c>
      <c r="D27" s="1" t="s">
        <v>122</v>
      </c>
      <c r="E27" s="1" t="s">
        <v>123</v>
      </c>
    </row>
    <row r="28" spans="1:5" x14ac:dyDescent="0.25">
      <c r="A28" s="2" t="s">
        <v>31</v>
      </c>
      <c r="B28" s="15">
        <f>工厂类型!D2</f>
        <v>80000</v>
      </c>
      <c r="C28" s="15">
        <f>E18</f>
        <v>7520000</v>
      </c>
      <c r="D28" s="4">
        <f t="shared" ref="D28:D36" si="1">INT(C28/B28)</f>
        <v>94</v>
      </c>
      <c r="E28" s="4" t="str">
        <f t="shared" ref="E28:E36" si="2">IF(D28&lt;20,"偏贵",IF(D28&gt;200,"偏便宜","合理"))</f>
        <v>合理</v>
      </c>
    </row>
    <row r="29" spans="1:5" x14ac:dyDescent="0.25">
      <c r="A29" s="2" t="s">
        <v>32</v>
      </c>
      <c r="B29" s="15">
        <f>工厂类型!D3</f>
        <v>50000</v>
      </c>
      <c r="C29" s="15">
        <f>E18</f>
        <v>7520000</v>
      </c>
      <c r="D29" s="4">
        <f t="shared" si="1"/>
        <v>150</v>
      </c>
      <c r="E29" s="4" t="str">
        <f t="shared" si="2"/>
        <v>合理</v>
      </c>
    </row>
    <row r="30" spans="1:5" x14ac:dyDescent="0.25">
      <c r="A30" s="2" t="s">
        <v>33</v>
      </c>
      <c r="B30" s="15">
        <f>工厂类型!D4</f>
        <v>70000</v>
      </c>
      <c r="C30" s="15">
        <f>E18</f>
        <v>7520000</v>
      </c>
      <c r="D30" s="4">
        <f t="shared" si="1"/>
        <v>107</v>
      </c>
      <c r="E30" s="4" t="str">
        <f t="shared" si="2"/>
        <v>合理</v>
      </c>
    </row>
    <row r="31" spans="1:5" x14ac:dyDescent="0.25">
      <c r="A31" s="3" t="s">
        <v>34</v>
      </c>
      <c r="B31" s="15">
        <f>工厂类型!D5</f>
        <v>30000</v>
      </c>
      <c r="C31" s="15">
        <f>E18</f>
        <v>7520000</v>
      </c>
      <c r="D31" s="4">
        <f t="shared" si="1"/>
        <v>250</v>
      </c>
      <c r="E31" s="4" t="str">
        <f t="shared" si="2"/>
        <v>偏便宜</v>
      </c>
    </row>
    <row r="32" spans="1:5" x14ac:dyDescent="0.25">
      <c r="A32" s="3" t="s">
        <v>35</v>
      </c>
      <c r="B32" s="15">
        <f>工厂类型!D6</f>
        <v>60000</v>
      </c>
      <c r="C32" s="15">
        <f>E18</f>
        <v>7520000</v>
      </c>
      <c r="D32" s="4">
        <f t="shared" si="1"/>
        <v>125</v>
      </c>
      <c r="E32" s="4" t="str">
        <f t="shared" si="2"/>
        <v>合理</v>
      </c>
    </row>
    <row r="33" spans="1:5" x14ac:dyDescent="0.25">
      <c r="A33" s="3" t="s">
        <v>36</v>
      </c>
      <c r="B33" s="15">
        <f>工厂类型!D7</f>
        <v>50000</v>
      </c>
      <c r="C33" s="15">
        <f>E18</f>
        <v>7520000</v>
      </c>
      <c r="D33" s="4">
        <f t="shared" si="1"/>
        <v>150</v>
      </c>
      <c r="E33" s="4" t="str">
        <f t="shared" si="2"/>
        <v>合理</v>
      </c>
    </row>
    <row r="34" spans="1:5" x14ac:dyDescent="0.25">
      <c r="A34" s="4" t="s">
        <v>37</v>
      </c>
      <c r="B34" s="15">
        <f>工厂类型!D8</f>
        <v>40000</v>
      </c>
      <c r="C34" s="15">
        <f>E18</f>
        <v>7520000</v>
      </c>
      <c r="D34" s="4">
        <f t="shared" si="1"/>
        <v>188</v>
      </c>
      <c r="E34" s="4" t="str">
        <f t="shared" si="2"/>
        <v>合理</v>
      </c>
    </row>
    <row r="35" spans="1:5" x14ac:dyDescent="0.25">
      <c r="A35" s="4" t="s">
        <v>38</v>
      </c>
      <c r="B35" s="15">
        <f>工厂类型!D9</f>
        <v>40000</v>
      </c>
      <c r="C35" s="15">
        <f>E18</f>
        <v>7520000</v>
      </c>
      <c r="D35" s="4">
        <f t="shared" si="1"/>
        <v>188</v>
      </c>
      <c r="E35" s="4" t="str">
        <f t="shared" si="2"/>
        <v>合理</v>
      </c>
    </row>
    <row r="36" spans="1:5" x14ac:dyDescent="0.25">
      <c r="A36" s="4" t="s">
        <v>39</v>
      </c>
      <c r="B36" s="15">
        <f>工厂类型!D10</f>
        <v>45000</v>
      </c>
      <c r="C36" s="15">
        <f>E18</f>
        <v>7520000</v>
      </c>
      <c r="D36" s="4">
        <f t="shared" si="1"/>
        <v>167</v>
      </c>
      <c r="E36" s="4" t="str">
        <f t="shared" si="2"/>
        <v>合理</v>
      </c>
    </row>
  </sheetData>
  <mergeCells count="3">
    <mergeCell ref="A26:E26"/>
    <mergeCell ref="A1:E1"/>
    <mergeCell ref="A20:E2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商品类型</vt:lpstr>
      <vt:lpstr>配方</vt:lpstr>
      <vt:lpstr>工厂类型</vt:lpstr>
      <vt:lpstr>居民配置</vt:lpstr>
      <vt:lpstr>经济分析</vt:lpstr>
      <vt:lpstr>需求分析</vt:lpstr>
      <vt:lpstr>现金总量分析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T193260</cp:lastModifiedBy>
  <dcterms:created xsi:type="dcterms:W3CDTF">2026-05-04T02:43:45Z</dcterms:created>
  <dcterms:modified xsi:type="dcterms:W3CDTF">2026-05-04T07:10:36Z</dcterms:modified>
</cp:coreProperties>
</file>